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b7246bf71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8aae8e0dae4393"/>
    <x:sheet xmlns:r="http://schemas.openxmlformats.org/officeDocument/2006/relationships" name="Categories" sheetId="2" r:id="R57e588dba6864da4"/>
    <x:sheet xmlns:r="http://schemas.openxmlformats.org/officeDocument/2006/relationships" name="Jan" sheetId="3" r:id="Rd5d82606d36b47ce"/>
    <x:sheet xmlns:r="http://schemas.openxmlformats.org/officeDocument/2006/relationships" name="Feb" sheetId="4" r:id="R1bcd7118d3c14370"/>
    <x:sheet xmlns:r="http://schemas.openxmlformats.org/officeDocument/2006/relationships" name="Mar" sheetId="5" r:id="Rcb2f5a07ace24ef5"/>
    <x:sheet xmlns:r="http://schemas.openxmlformats.org/officeDocument/2006/relationships" name="Apr" sheetId="6" r:id="R59f52b66d3c94312"/>
    <x:sheet xmlns:r="http://schemas.openxmlformats.org/officeDocument/2006/relationships" name="May" sheetId="7" r:id="R8b2e479461124210"/>
    <x:sheet xmlns:r="http://schemas.openxmlformats.org/officeDocument/2006/relationships" name="Jun" sheetId="8" r:id="Rcca3c20901a74dd9"/>
    <x:sheet xmlns:r="http://schemas.openxmlformats.org/officeDocument/2006/relationships" name="Jul" sheetId="9" r:id="Rf07da1bfe580449d"/>
    <x:sheet xmlns:r="http://schemas.openxmlformats.org/officeDocument/2006/relationships" name="Aug" sheetId="10" r:id="R559d930985604c43"/>
    <x:sheet xmlns:r="http://schemas.openxmlformats.org/officeDocument/2006/relationships" name="Sep" sheetId="11" r:id="R04cf1624af1d4735"/>
    <x:sheet xmlns:r="http://schemas.openxmlformats.org/officeDocument/2006/relationships" name="Oct" sheetId="12" r:id="Rd9af327438ef4d02"/>
    <x:sheet xmlns:r="http://schemas.openxmlformats.org/officeDocument/2006/relationships" name="Nov" sheetId="13" r:id="Rc78196646c994a0a"/>
    <x:sheet xmlns:r="http://schemas.openxmlformats.org/officeDocument/2006/relationships" name="Dec" sheetId="14" r:id="Rc4242e699a984f90"/>
    <x:sheet xmlns:r="http://schemas.openxmlformats.org/officeDocument/2006/relationships" name="Annual Summary" sheetId="15" r:id="Ra3d403a303ae481e"/>
    <x:sheet xmlns:r="http://schemas.openxmlformats.org/officeDocument/2006/relationships" name="Checks" sheetId="16" r:id="R2624341a5a37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%"/>
    <x:numFmt numFmtId="202" formatCode="$#,##0;[Red]($#,##0);-"/>
    <x:numFmt numFmtId="203" formatCode="yyyy-mm-dd"/>
  </x:numFmts>
  <x:fonts count="9">
    <x:font>
      <x:sz val="11"/>
      <x:name val="Carlito"/>
    </x:font>
    <x:font>
      <x:b/>
      <x:sz val="18"/>
      <x:color rgb="FFFFFF"/>
      <x:name val="Carlito"/>
    </x:font>
    <x:font>
      <x:i/>
      <x:sz val="11"/>
      <x:color rgb="5B677A"/>
      <x:name val="Carlito"/>
    </x:font>
    <x:font>
      <x:b/>
      <x:sz val="10"/>
      <x:color rgb="5B677A"/>
      <x:name val="Carlito"/>
    </x:font>
    <x:font>
      <x:b/>
      <x:sz val="16"/>
      <x:color rgb="17324D"/>
      <x:name val="Carlito"/>
    </x:font>
    <x:font>
      <x:b/>
      <x:sz val="11"/>
      <x:color rgb="FFFFFF"/>
      <x:name val="Carlito"/>
    </x:font>
    <x:font>
      <x:sz val="11"/>
      <x:color rgb="22313F"/>
      <x:name val="Carlito"/>
    </x:font>
    <x:font>
      <x:b/>
      <x:sz val="11"/>
      <x:color rgb="22313F"/>
      <x:name val="Carlito"/>
    </x:font>
    <x:font>
      <x:b/>
      <x:sz val="11"/>
      <x:color rgb="2F6B4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EAF5EF"/>
      </x:patternFill>
    </x:fill>
    <x:fill>
      <x:patternFill patternType="solid">
        <x:fgColor rgb="2F6B4F"/>
      </x:patternFill>
    </x:fill>
    <x:fill>
      <x:patternFill patternType="solid">
        <x:fgColor rgb="FFFFFF"/>
      </x:patternFill>
    </x:fill>
    <x:fill>
      <x:patternFill patternType="solid">
        <x:fgColor rgb="2B5C8A"/>
      </x:patternFill>
    </x:fill>
    <x:fill>
      <x:patternFill patternType="solid">
        <x:fgColor rgb="FFF4E5"/>
      </x:patternFill>
    </x:fill>
    <x:fill>
      <x:patternFill patternType="solid">
        <x:fgColor rgb="0F766E"/>
      </x:patternFill>
    </x:fill>
    <x:fill>
      <x:patternFill patternType="solid">
        <x:fgColor rgb="F7F9FB"/>
      </x:patternFill>
    </x:fill>
    <x:fill>
      <x:patternFill patternType="solid">
        <x:fgColor rgb="E8F5F2"/>
      </x:patternFill>
    </x:fill>
  </x:fills>
  <x:borders count="1">
    <x:border/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203" fontId="6" fillId="6" borderId="0" xfId="0" applyNumberFormat="1" applyFont="1" applyFill="1" applyBorder="1"/>
    <x:xf numFmtId="0" fontId="0" fillId="10" borderId="0" xfId="0" applyNumberFormat="1" applyFont="1" applyFill="1" applyBorder="1"/>
    <x:xf numFmtId="0" fontId="6" fillId="11" borderId="0" xfId="0" applyNumberFormat="1" applyFont="1" applyFill="1" applyBorder="1"/>
    <x:xf numFmtId="0" fontId="7" fillId="11" borderId="0" xfId="0" applyNumberFormat="1" applyFont="1" applyFill="1" applyBorder="1"/>
    <x:xf numFmtId="202" fontId="7" fillId="11" borderId="0" xfId="0" applyNumberFormat="1" applyFont="1" applyFill="1" applyBorder="1"/>
    <x:xf numFmtId="201" fontId="7" fillId="11" borderId="0" xfId="0" applyNumberFormat="1" applyFont="1" applyFill="1" applyBorder="1"/>
    <x:xf numFmtId="0" fontId="6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90a44cea845c6" /><Relationship Type="http://schemas.openxmlformats.org/officeDocument/2006/relationships/theme" Target="/xl/theme/theme1.xml" Id="R3f030ec73d554f6a" /><Relationship Type="http://schemas.openxmlformats.org/officeDocument/2006/relationships/sharedStrings" Target="/xl/sharedStrings.xml" Id="Rd204a8d3181a4da8" /><Relationship Type="http://schemas.openxmlformats.org/officeDocument/2006/relationships/worksheet" Target="/xl/worksheets/sheet1.xml" Id="R848aae8e0dae4393" /><Relationship Type="http://schemas.openxmlformats.org/officeDocument/2006/relationships/worksheet" Target="/xl/worksheets/sheet2.xml" Id="R57e588dba6864da4" /><Relationship Type="http://schemas.openxmlformats.org/officeDocument/2006/relationships/worksheet" Target="/xl/worksheets/sheet3.xml" Id="Rd5d82606d36b47ce" /><Relationship Type="http://schemas.openxmlformats.org/officeDocument/2006/relationships/worksheet" Target="/xl/worksheets/sheet4.xml" Id="R1bcd7118d3c14370" /><Relationship Type="http://schemas.openxmlformats.org/officeDocument/2006/relationships/worksheet" Target="/xl/worksheets/sheet5.xml" Id="Rcb2f5a07ace24ef5" /><Relationship Type="http://schemas.openxmlformats.org/officeDocument/2006/relationships/worksheet" Target="/xl/worksheets/sheet6.xml" Id="R59f52b66d3c94312" /><Relationship Type="http://schemas.openxmlformats.org/officeDocument/2006/relationships/worksheet" Target="/xl/worksheets/sheet7.xml" Id="R8b2e479461124210" /><Relationship Type="http://schemas.openxmlformats.org/officeDocument/2006/relationships/worksheet" Target="/xl/worksheets/sheet8.xml" Id="Rcca3c20901a74dd9" /><Relationship Type="http://schemas.openxmlformats.org/officeDocument/2006/relationships/worksheet" Target="/xl/worksheets/sheet9.xml" Id="Rf07da1bfe580449d" /><Relationship Type="http://schemas.openxmlformats.org/officeDocument/2006/relationships/worksheet" Target="/xl/worksheets/sheet10.xml" Id="R559d930985604c43" /><Relationship Type="http://schemas.openxmlformats.org/officeDocument/2006/relationships/worksheet" Target="/xl/worksheets/sheet11.xml" Id="R04cf1624af1d4735" /><Relationship Type="http://schemas.openxmlformats.org/officeDocument/2006/relationships/worksheet" Target="/xl/worksheets/sheet12.xml" Id="Rd9af327438ef4d02" /><Relationship Type="http://schemas.openxmlformats.org/officeDocument/2006/relationships/worksheet" Target="/xl/worksheets/sheet13.xml" Id="Rc78196646c994a0a" /><Relationship Type="http://schemas.openxmlformats.org/officeDocument/2006/relationships/worksheet" Target="/xl/worksheets/sheet14.xml" Id="Rc4242e699a984f90" /><Relationship Type="http://schemas.openxmlformats.org/officeDocument/2006/relationships/worksheet" Target="/xl/worksheets/sheet15.xml" Id="Ra3d403a303ae481e" /><Relationship Type="http://schemas.openxmlformats.org/officeDocument/2006/relationships/worksheet" Target="/xl/worksheets/sheet16.xml" Id="R2624341a5a3743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e9d42073b64334" /><Relationship Type="http://schemas.openxmlformats.org/officeDocument/2006/relationships/chart" Target="/xl/drawings/charts/chart2.xml" Id="R4d82dddcb94c44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Income vs. Expenses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Income</c:v>
          </c:tx>
          <c:cat>
            <c:strRef>
              <c:f>'Dashboard'!$F$14:$F$25</c:f>
              <c:strCache>
                <c:ptCount val="0"/>
              </c:strCache>
            </c:strRef>
          </c:cat>
          <c:val>
            <c:numRef>
              <c:f>'Dashboard'!$G$14:$G$25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cat>
            <c:strRef>
              <c:f>'Dashboard'!$F$14:$F$25</c:f>
              <c:strCache>
                <c:ptCount val="0"/>
              </c:strCache>
            </c:strRef>
          </c:cat>
          <c:val>
            <c:numRef>
              <c:f>'Dashboard'!$H$14:$H$25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 Spend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Actual Spend</c:v>
          </c:tx>
          <c:cat>
            <c:strRef>
              <c:f>'Dashboard'!$J$14:$J$25</c:f>
              <c:strCache>
                <c:ptCount val="0"/>
              </c:strCache>
            </c:strRef>
          </c:cat>
          <c:val>
            <c:numRef>
              <c:f>'Dashboard'!$K$14:$K$25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27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e9d42073b64334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82dddcb94c44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ExpenseCategories" displayName="DashboardExpenseCategories" ref="A13:D25" headerRowCount="1">
  <x:tableColumns count="4">
    <x:tableColumn id="1" name="Toản"/>
    <x:tableColumn id="2" name="Annual Budget"/>
    <x:tableColumn id="3" name="Actual Spend"/>
    <x:tableColumn id="4" name="Remaining"/>
  </x:tableColumns>
  <x:tableStyleInfo name="TableStyleMedium2" showRowStripes="1"/>
</x:table>
</file>

<file path=xl/tables/table2.xml><?xml version="1.0" encoding="utf-8"?>
<x:table xmlns:x="http://schemas.openxmlformats.org/spreadsheetml/2006/main" id="2" name="BudgetCategories" displayName="BudgetCategories" ref="A4:P19" headerRowCount="1">
  <x:tableColumns count="16">
    <x:tableColumn id="1" name="Type"/>
    <x:tableColumn id="2" name="Category"/>
    <x:tableColumn id="3" name="Monthly Default"/>
    <x:tableColumn id="4" name="Jan"/>
    <x:tableColumn id="5" name="Feb"/>
    <x:tableColumn id="6" name="Mar"/>
    <x:tableColumn id="7" name="Apr"/>
    <x:tableColumn id="8" name="May"/>
    <x:tableColumn id="9" name="Jun"/>
    <x:tableColumn id="10" name="Jul"/>
    <x:tableColumn id="11" name="Aug"/>
    <x:tableColumn id="12" name="Sep"/>
    <x:tableColumn id="13" name="Oct"/>
    <x:tableColumn id="14" name="Nov"/>
    <x:tableColumn id="15" name="Dec"/>
    <x:tableColumn id="16" name="Annual Budget"/>
  </x:tableColumns>
  <x:tableStyleInfo name="TableStyleMedium2" showRowStripes="1"/>
</x:table>
</file>

<file path=xl/tables/table3.xml><?xml version="1.0" encoding="utf-8"?>
<x:table xmlns:x="http://schemas.openxmlformats.org/spreadsheetml/2006/main" id="3" name="JanTransactions" displayName="Jan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4.xml><?xml version="1.0" encoding="utf-8"?>
<x:table xmlns:x="http://schemas.openxmlformats.org/spreadsheetml/2006/main" id="4" name="FebTransactions" displayName="Feb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5.xml><?xml version="1.0" encoding="utf-8"?>
<x:table xmlns:x="http://schemas.openxmlformats.org/spreadsheetml/2006/main" id="5" name="MarTransactions" displayName="Mar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6.xml><?xml version="1.0" encoding="utf-8"?>
<x:table xmlns:x="http://schemas.openxmlformats.org/spreadsheetml/2006/main" id="6" name="AprTransactions" displayName="Apr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7.xml><?xml version="1.0" encoding="utf-8"?>
<x:table xmlns:x="http://schemas.openxmlformats.org/spreadsheetml/2006/main" id="7" name="MayTransactions" displayName="May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8.xml><?xml version="1.0" encoding="utf-8"?>
<x:table xmlns:x="http://schemas.openxmlformats.org/spreadsheetml/2006/main" id="8" name="JunTransactions" displayName="Jun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9.xml><?xml version="1.0" encoding="utf-8"?>
<x:table xmlns:x="http://schemas.openxmlformats.org/spreadsheetml/2006/main" id="9" name="JulTransactions" displayName="Jul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10.xml><?xml version="1.0" encoding="utf-8"?>
<x:table xmlns:x="http://schemas.openxmlformats.org/spreadsheetml/2006/main" id="10" name="AugTransactions" displayName="Aug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11.xml><?xml version="1.0" encoding="utf-8"?>
<x:table xmlns:x="http://schemas.openxmlformats.org/spreadsheetml/2006/main" id="11" name="SepTransactions" displayName="Sep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12.xml><?xml version="1.0" encoding="utf-8"?>
<x:table xmlns:x="http://schemas.openxmlformats.org/spreadsheetml/2006/main" id="12" name="OctTransactions" displayName="Oct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13.xml><?xml version="1.0" encoding="utf-8"?>
<x:table xmlns:x="http://schemas.openxmlformats.org/spreadsheetml/2006/main" id="13" name="NovTransactions" displayName="Nov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14.xml><?xml version="1.0" encoding="utf-8"?>
<x:table xmlns:x="http://schemas.openxmlformats.org/spreadsheetml/2006/main" id="14" name="DecTransactions" displayName="DecTransactions" ref="A10:H109" headerRowCount="1">
  <x:tableColumns count="8">
    <x:tableColumn id="1" name="Date"/>
    <x:tableColumn id="2" name="Description"/>
    <x:tableColumn id="3" name="Type"/>
    <x:tableColumn id="4" name="Category"/>
    <x:tableColumn id="5" name="Amount"/>
    <x:tableColumn id="6" name="Paid?"/>
    <x:tableColumn id="7" name="Notes"/>
    <x:tableColumn id="8" name="Month"/>
  </x:tableColumns>
  <x:tableStyleInfo name="TableStyleMedium2" showRowStripes="1"/>
</x:table>
</file>

<file path=xl/tables/table15.xml><?xml version="1.0" encoding="utf-8"?>
<x:table xmlns:x="http://schemas.openxmlformats.org/spreadsheetml/2006/main" id="15" name="AnnualSummary" displayName="AnnualSummary" ref="A4:H17" headerRowCount="1">
  <x:tableColumns count="8">
    <x:tableColumn id="1" name="Month"/>
    <x:tableColumn id="2" name="Budget Income"/>
    <x:tableColumn id="3" name="Actual Income"/>
    <x:tableColumn id="4" name="Budget Expenses"/>
    <x:tableColumn id="5" name="Actual Expenses"/>
    <x:tableColumn id="6" name="Net Cash Flow"/>
    <x:tableColumn id="7" name="Expense Variance"/>
    <x:tableColumn id="8" name="Savings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53f248d7ae47ee" /><Relationship Type="http://schemas.openxmlformats.org/officeDocument/2006/relationships/table" Target="/xl/tables/table1.xml" Id="R1993f9d5d1f845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5cd303bc73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117d4ec77d43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1283fd4b5441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3f33c8f0d04e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4d1dd21a1048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dac336457f547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11a15c033be4b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5567eeddaca4c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aaa73088eec4a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95f0f2c645142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b08ec48a0464c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c8e2070757245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7212df3238244e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93f1fbbd60244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4.800000190734863" hidden="0" customWidth="1"/>
    <x:col min="3" max="3" width="14.800000190734863" hidden="0" customWidth="1"/>
    <x:col min="4" max="4" width="14.800000190734863" hidden="0" customWidth="1"/>
    <x:col min="5" max="5" width="3.359999895095825" hidden="0" customWidth="1"/>
    <x:col min="6" max="6" width="15.479999542236328" hidden="0" customWidth="1"/>
    <x:col min="7" max="7" width="14.800000190734863" hidden="0" customWidth="1"/>
    <x:col min="8" max="8" width="14.800000190734863" hidden="0" customWidth="1"/>
    <x:col min="9" max="9" width="3.359999895095825" hidden="0" customWidth="1"/>
    <x:col min="10" max="10" width="16.81999969482422" hidden="0" customWidth="1"/>
    <x:col min="11" max="11" width="14.800000190734863" hidden="0" customWidth="1"/>
    <x:col min="12" max="12" width="14.800000190734863" hidden="0" customWidth="1"/>
  </x:cols>
  <x:sheetData>
    <x:row r="1" ht="25.5" customHeight="1">
      <x:c r="A1" s="4" t="str">
        <x:v>2026 Monthly Budget Dashboard</x:v>
      </x:c>
      <x:c r="B1" s="4" t="str">
        <x:v>2026 Monthly Budget Dashboard</x:v>
      </x:c>
      <x:c r="C1" s="4" t="str">
        <x:v>2026 Monthly Budget Dashboard</x:v>
      </x:c>
      <x:c r="D1" s="4" t="str">
        <x:v>2026 Monthly Budget Dashboard</x:v>
      </x:c>
      <x:c r="E1" s="4" t="str">
        <x:v>2026 Monthly Budget Dashboard</x:v>
      </x:c>
      <x:c r="F1" s="4" t="str">
        <x:v>2026 Monthly Budget Dashboard</x:v>
      </x:c>
      <x:c r="G1" s="4" t="str">
        <x:v>2026 Monthly Budget Dashboard</x:v>
      </x:c>
      <x:c r="H1" s="4" t="str">
        <x:v>2026 Monthly Budget Dashboard</x:v>
      </x:c>
      <x:c r="I1" s="4" t="str">
        <x:v>2026 Monthly Budget Dashboard</x:v>
      </x:c>
      <x:c r="J1" s="4" t="str">
        <x:v>2026 Monthly Budget Dashboard</x:v>
      </x:c>
      <x:c r="K1" s="4" t="str">
        <x:v>2026 Monthly Budget Dashboard</x:v>
      </x:c>
      <x:c r="L1" s="4" t="str">
        <x:v>2026 Monthly Budget Dashboard</x:v>
      </x:c>
    </x:row>
    <x:row r="2">
      <x:c r="A2" s="7" t="str">
        <x:v>Live overview from budget categories and monthly transaction tabs.</x:v>
      </x:c>
      <x:c r="B2" s="7" t="str">
        <x:v>Live overview from budget categories and monthly transaction tabs.</x:v>
      </x:c>
      <x:c r="C2" s="7" t="str">
        <x:v>Live overview from budget categories and monthly transaction tabs.</x:v>
      </x:c>
      <x:c r="D2" s="7" t="str">
        <x:v>Live overview from budget categories and monthly transaction tabs.</x:v>
      </x:c>
      <x:c r="E2" s="7" t="str">
        <x:v>Live overview from budget categories and monthly transaction tabs.</x:v>
      </x:c>
      <x:c r="F2" s="7" t="str">
        <x:v>Live overview from budget categories and monthly transaction tabs.</x:v>
      </x:c>
      <x:c r="G2" s="7" t="str">
        <x:v>Live overview from budget categories and monthly transaction tabs.</x:v>
      </x:c>
      <x:c r="H2" s="7" t="str">
        <x:v>Live overview from budget categories and monthly transaction tabs.</x:v>
      </x:c>
      <x:c r="I2" s="7" t="str">
        <x:v>Live overview from budget categories and monthly transaction tabs.</x:v>
      </x:c>
      <x:c r="J2" s="7" t="str">
        <x:v>Live overview from budget categories and monthly transaction tabs.</x:v>
      </x:c>
      <x:c r="K2" s="7" t="str">
        <x:v>Live overview from budget categories and monthly transaction tabs.</x:v>
      </x:c>
      <x:c r="L2" s="7" t="str">
        <x:v>Live overview from budget categories and monthly transaction tabs.</x:v>
      </x:c>
    </x:row>
    <x:row r="4">
      <x:c r="A4" s="10" t="str">
        <x:v>Actual Income</x:v>
      </x:c>
      <x:c r="B4" s="10" t="str">
        <x:v>Actual Income</x:v>
      </x:c>
      <x:c r="C4" s="10" t="str">
        <x:v>Actual Income</x:v>
      </x:c>
      <x:c r="D4" s="10" t="str">
        <x:v>Actual Income</x:v>
      </x:c>
      <x:c r="F4" s="10" t="str">
        <x:v>Actual Expenses</x:v>
      </x:c>
      <x:c r="G4" s="10" t="str">
        <x:v>Actual Expenses</x:v>
      </x:c>
      <x:c r="H4" s="10" t="str">
        <x:v>Actual Expenses</x:v>
      </x:c>
      <x:c r="J4" s="18" t="str">
        <x:v>Net Cash Flow</x:v>
      </x:c>
      <x:c r="K4" s="18" t="str">
        <x:v>Net Cash Flow</x:v>
      </x:c>
      <x:c r="L4" s="18" t="str">
        <x:v>Net Cash Flow</x:v>
      </x:c>
    </x:row>
    <x:row r="5" ht="42" customHeight="1">
      <x:c r="A5" s="14" t="n">
        <x:f>'Annual Summary'!C17</x:f>
        <x:v>6500</x:v>
      </x:c>
      <x:c r="B5" s="14"/>
      <x:c r="C5" s="14"/>
      <x:c r="D5" s="14"/>
      <x:c r="F5" s="14" t="n">
        <x:f>'Annual Summary'!E17</x:f>
        <x:v>2270</x:v>
      </x:c>
      <x:c r="G5" s="14"/>
      <x:c r="H5" s="14"/>
      <x:c r="J5" s="22" t="n">
        <x:f>'Annual Summary'!F17</x:f>
        <x:v>4230</x:v>
      </x:c>
      <x:c r="K5" s="22"/>
      <x:c r="L5" s="22"/>
    </x:row>
    <x:row r="6" ht="42" customHeight="1">
      <x:c r="A6" s="14"/>
      <x:c r="B6" s="14"/>
      <x:c r="C6" s="14"/>
      <x:c r="D6" s="14"/>
      <x:c r="F6" s="14"/>
      <x:c r="G6" s="14"/>
      <x:c r="H6" s="14"/>
      <x:c r="J6" s="22"/>
      <x:c r="K6" s="22"/>
      <x:c r="L6" s="22"/>
    </x:row>
    <x:row r="8">
      <x:c r="A8" s="10" t="str">
        <x:v>Budgeted Expenses</x:v>
      </x:c>
      <x:c r="B8" s="10" t="str">
        <x:v>Budgeted Expenses</x:v>
      </x:c>
      <x:c r="C8" s="10" t="str">
        <x:v>Budgeted Expenses</x:v>
      </x:c>
      <x:c r="D8" s="10" t="str">
        <x:v>Budgeted Expenses</x:v>
      </x:c>
      <x:c r="F8" s="18" t="str">
        <x:v>Budget Remaining</x:v>
      </x:c>
      <x:c r="G8" s="18" t="str">
        <x:v>Budget Remaining</x:v>
      </x:c>
      <x:c r="H8" s="18" t="str">
        <x:v>Budget Remaining</x:v>
      </x:c>
      <x:c r="J8" s="10" t="str">
        <x:v>Savings Rate</x:v>
      </x:c>
      <x:c r="K8" s="10" t="str">
        <x:v>Savings Rate</x:v>
      </x:c>
      <x:c r="L8" s="10" t="str">
        <x:v>Savings Rate</x:v>
      </x:c>
    </x:row>
    <x:row r="9" ht="42" customHeight="1">
      <x:c r="A9" s="14" t="n">
        <x:f>'Annual Summary'!D17</x:f>
        <x:v>76200</x:v>
      </x:c>
      <x:c r="B9" s="14"/>
      <x:c r="C9" s="14"/>
      <x:c r="D9" s="14"/>
      <x:c r="F9" s="22" t="n">
        <x:f>'Annual Summary'!G17</x:f>
        <x:v>73930</x:v>
      </x:c>
      <x:c r="G9" s="22"/>
      <x:c r="H9" s="22"/>
      <x:c r="J9" s="25" t="n">
        <x:f>IF('Annual Summary'!C17=0,"",'Annual Summary'!F17/'Annual Summary'!C17)</x:f>
        <x:v>0.6507692307692308</x:v>
      </x:c>
      <x:c r="K9" s="25"/>
      <x:c r="L9" s="25"/>
    </x:row>
    <x:row r="10" ht="42" customHeight="1">
      <x:c r="A10" s="14"/>
      <x:c r="B10" s="14"/>
      <x:c r="C10" s="14"/>
      <x:c r="D10" s="14"/>
      <x:c r="F10" s="22"/>
      <x:c r="G10" s="22"/>
      <x:c r="H10" s="22"/>
      <x:c r="J10" s="25"/>
      <x:c r="K10" s="25"/>
      <x:c r="L10" s="25"/>
    </x:row>
    <x:row r="13">
      <x:c r="A13" s="29" t="str">
        <x:v>Toản</x:v>
      </x:c>
      <x:c r="B13" s="29" t="str">
        <x:v>Annual Budget</x:v>
      </x:c>
      <x:c r="C13" s="29" t="str">
        <x:v>Actual Spend</x:v>
      </x:c>
      <x:c r="D13" s="29" t="str">
        <x:v>Remaining</x:v>
      </x:c>
      <x:c r="F13" s="36" t="str">
        <x:v>Month</x:v>
      </x:c>
      <x:c r="G13" s="36" t="str">
        <x:v>Income</x:v>
      </x:c>
      <x:c r="H13" s="36" t="str">
        <x:v>Expenses</x:v>
      </x:c>
      <x:c r="J13" s="36" t="str">
        <x:v>Category</x:v>
      </x:c>
      <x:c r="K13" s="36" t="str">
        <x:v>Actual Spend</x:v>
      </x:c>
      <x:c r="L13" s="36" t="str">
        <x:v>Share</x:v>
      </x:c>
    </x:row>
    <x:row r="14">
      <x:c r="A14" s="31" t="str">
        <x:v>Housing</x:v>
      </x:c>
      <x:c r="B14" s="32" t="n">
        <x:f>SUMIFS(Categories!$P$5:$P$19,Categories!$B$5:$B$19,A14)</x:f>
        <x:v>21600</x:v>
      </x:c>
      <x:c r="C14" s="32" t="n">
        <x:f>SUMIFS('Jan'!$E$11:$E$109,'Jan'!$C$11:$C$109,"Expense",'Jan'!$D$11:$D$109,A14)+SUMIFS('Feb'!$E$11:$E$109,'Feb'!$C$11:$C$109,"Expense",'Feb'!$D$11:$D$109,A14)+SUMIFS('Mar'!$E$11:$E$109,'Mar'!$C$11:$C$109,"Expense",'Mar'!$D$11:$D$109,A14)+SUMIFS('Apr'!$E$11:$E$109,'Apr'!$C$11:$C$109,"Expense",'Apr'!$D$11:$D$109,A14)+SUMIFS('May'!$E$11:$E$109,'May'!$C$11:$C$109,"Expense",'May'!$D$11:$D$109,A14)+SUMIFS('Jun'!$E$11:$E$109,'Jun'!$C$11:$C$109,"Expense",'Jun'!$D$11:$D$109,A14)+SUMIFS('Jul'!$E$11:$E$109,'Jul'!$C$11:$C$109,"Expense",'Jul'!$D$11:$D$109,A14)+SUMIFS('Aug'!$E$11:$E$109,'Aug'!$C$11:$C$109,"Expense",'Aug'!$D$11:$D$109,A14)+SUMIFS('Sep'!$E$11:$E$109,'Sep'!$C$11:$C$109,"Expense",'Sep'!$D$11:$D$109,A14)+SUMIFS('Oct'!$E$11:$E$109,'Oct'!$C$11:$C$109,"Expense",'Oct'!$D$11:$D$109,A14)+SUMIFS('Nov'!$E$11:$E$109,'Nov'!$C$11:$C$109,"Expense",'Nov'!$D$11:$D$109,A14)+SUMIFS('Dec'!$E$11:$E$109,'Dec'!$C$11:$C$109,"Expense",'Dec'!$D$11:$D$109,A14)</x:f>
        <x:v>1800</x:v>
      </x:c>
      <x:c r="D14" s="32" t="n">
        <x:f>B14-C14</x:f>
        <x:v>19800</x:v>
      </x:c>
      <x:c r="F14" s="31" t="str">
        <x:f>'Annual Summary'!A5</x:f>
        <x:v>January</x:v>
      </x:c>
      <x:c r="G14" s="32" t="n">
        <x:f>'Annual Summary'!C5</x:f>
        <x:v>6500</x:v>
      </x:c>
      <x:c r="H14" s="32" t="n">
        <x:f>'Annual Summary'!E5</x:f>
        <x:v>2270</x:v>
      </x:c>
      <x:c r="J14" s="31" t="str">
        <x:f>A14</x:f>
        <x:v>Housing</x:v>
      </x:c>
      <x:c r="K14" s="32" t="n">
        <x:f>C14</x:f>
        <x:v>1800</x:v>
      </x:c>
      <x:c r="L14" s="37" t="n">
        <x:f>IF(SUM($K$14:$K$25)=0,"",K14/SUM($K$14:$K$25))</x:f>
        <x:v>0.7929515418502202</x:v>
      </x:c>
    </x:row>
    <x:row r="15">
      <x:c r="A15" s="31" t="str">
        <x:v>Utilities</x:v>
      </x:c>
      <x:c r="B15" s="32" t="n">
        <x:f>SUMIFS(Categories!$P$5:$P$19,Categories!$B$5:$B$19,A15)</x:f>
        <x:v>3360</x:v>
      </x:c>
      <x:c r="C15" s="32" t="n">
        <x:f>SUMIFS('Jan'!$E$11:$E$109,'Jan'!$C$11:$C$109,"Expense",'Jan'!$D$11:$D$109,A15)+SUMIFS('Feb'!$E$11:$E$109,'Feb'!$C$11:$C$109,"Expense",'Feb'!$D$11:$D$109,A15)+SUMIFS('Mar'!$E$11:$E$109,'Mar'!$C$11:$C$109,"Expense",'Mar'!$D$11:$D$109,A15)+SUMIFS('Apr'!$E$11:$E$109,'Apr'!$C$11:$C$109,"Expense",'Apr'!$D$11:$D$109,A15)+SUMIFS('May'!$E$11:$E$109,'May'!$C$11:$C$109,"Expense",'May'!$D$11:$D$109,A15)+SUMIFS('Jun'!$E$11:$E$109,'Jun'!$C$11:$C$109,"Expense",'Jun'!$D$11:$D$109,A15)+SUMIFS('Jul'!$E$11:$E$109,'Jul'!$C$11:$C$109,"Expense",'Jul'!$D$11:$D$109,A15)+SUMIFS('Aug'!$E$11:$E$109,'Aug'!$C$11:$C$109,"Expense",'Aug'!$D$11:$D$109,A15)+SUMIFS('Sep'!$E$11:$E$109,'Sep'!$C$11:$C$109,"Expense",'Sep'!$D$11:$D$109,A15)+SUMIFS('Oct'!$E$11:$E$109,'Oct'!$C$11:$C$109,"Expense",'Oct'!$D$11:$D$109,A15)+SUMIFS('Nov'!$E$11:$E$109,'Nov'!$C$11:$C$109,"Expense",'Nov'!$D$11:$D$109,A15)+SUMIFS('Dec'!$E$11:$E$109,'Dec'!$C$11:$C$109,"Expense",'Dec'!$D$11:$D$109,A15)</x:f>
        <x:v>175</x:v>
      </x:c>
      <x:c r="D15" s="32" t="n">
        <x:f>B15-C15</x:f>
        <x:v>3185</x:v>
      </x:c>
      <x:c r="F15" s="31" t="str">
        <x:f>'Annual Summary'!A6</x:f>
        <x:v>February</x:v>
      </x:c>
      <x:c r="G15" s="32" t="n">
        <x:f>'Annual Summary'!C6</x:f>
        <x:v>0</x:v>
      </x:c>
      <x:c r="H15" s="32" t="n">
        <x:f>'Annual Summary'!E6</x:f>
        <x:v>0</x:v>
      </x:c>
      <x:c r="J15" s="31" t="str">
        <x:f>A15</x:f>
        <x:v>Utilities</x:v>
      </x:c>
      <x:c r="K15" s="32" t="n">
        <x:f>C15</x:f>
        <x:v>175</x:v>
      </x:c>
      <x:c r="L15" s="37" t="n">
        <x:f>IF(SUM($K$14:$K$25)=0,"",K15/SUM($K$14:$K$25))</x:f>
        <x:v>0.07709251101321586</x:v>
      </x:c>
    </x:row>
    <x:row r="16">
      <x:c r="A16" s="31" t="str">
        <x:v>Groceries</x:v>
      </x:c>
      <x:c r="B16" s="32" t="n">
        <x:f>SUMIFS(Categories!$P$5:$P$19,Categories!$B$5:$B$19,A16)</x:f>
        <x:v>10200</x:v>
      </x:c>
      <x:c r="C16" s="32" t="n">
        <x:f>SUMIFS('Jan'!$E$11:$E$109,'Jan'!$C$11:$C$109,"Expense",'Jan'!$D$11:$D$109,A16)+SUMIFS('Feb'!$E$11:$E$109,'Feb'!$C$11:$C$109,"Expense",'Feb'!$D$11:$D$109,A16)+SUMIFS('Mar'!$E$11:$E$109,'Mar'!$C$11:$C$109,"Expense",'Mar'!$D$11:$D$109,A16)+SUMIFS('Apr'!$E$11:$E$109,'Apr'!$C$11:$C$109,"Expense",'Apr'!$D$11:$D$109,A16)+SUMIFS('May'!$E$11:$E$109,'May'!$C$11:$C$109,"Expense",'May'!$D$11:$D$109,A16)+SUMIFS('Jun'!$E$11:$E$109,'Jun'!$C$11:$C$109,"Expense",'Jun'!$D$11:$D$109,A16)+SUMIFS('Jul'!$E$11:$E$109,'Jul'!$C$11:$C$109,"Expense",'Jul'!$D$11:$D$109,A16)+SUMIFS('Aug'!$E$11:$E$109,'Aug'!$C$11:$C$109,"Expense",'Aug'!$D$11:$D$109,A16)+SUMIFS('Sep'!$E$11:$E$109,'Sep'!$C$11:$C$109,"Expense",'Sep'!$D$11:$D$109,A16)+SUMIFS('Oct'!$E$11:$E$109,'Oct'!$C$11:$C$109,"Expense",'Oct'!$D$11:$D$109,A16)+SUMIFS('Nov'!$E$11:$E$109,'Nov'!$C$11:$C$109,"Expense",'Nov'!$D$11:$D$109,A16)+SUMIFS('Dec'!$E$11:$E$109,'Dec'!$C$11:$C$109,"Expense",'Dec'!$D$11:$D$109,A16)</x:f>
        <x:v>210</x:v>
      </x:c>
      <x:c r="D16" s="32" t="n">
        <x:f>B16-C16</x:f>
        <x:v>9990</x:v>
      </x:c>
      <x:c r="F16" s="31" t="str">
        <x:f>'Annual Summary'!A7</x:f>
        <x:v>March</x:v>
      </x:c>
      <x:c r="G16" s="32" t="n">
        <x:f>'Annual Summary'!C7</x:f>
        <x:v>0</x:v>
      </x:c>
      <x:c r="H16" s="32" t="n">
        <x:f>'Annual Summary'!E7</x:f>
        <x:v>0</x:v>
      </x:c>
      <x:c r="J16" s="31" t="str">
        <x:f>A16</x:f>
        <x:v>Groceries</x:v>
      </x:c>
      <x:c r="K16" s="32" t="n">
        <x:f>C16</x:f>
        <x:v>210</x:v>
      </x:c>
      <x:c r="L16" s="37" t="n">
        <x:f>IF(SUM($K$14:$K$25)=0,"",K16/SUM($K$14:$K$25))</x:f>
        <x:v>0.09251101321585903</x:v>
      </x:c>
    </x:row>
    <x:row r="17">
      <x:c r="A17" s="31" t="str">
        <x:v>Transportation</x:v>
      </x:c>
      <x:c r="B17" s="32" t="n">
        <x:f>SUMIFS(Categories!$P$5:$P$19,Categories!$B$5:$B$19,A17)</x:f>
        <x:v>5400</x:v>
      </x:c>
      <x:c r="C17" s="32" t="n">
        <x:f>SUMIFS('Jan'!$E$11:$E$109,'Jan'!$C$11:$C$109,"Expense",'Jan'!$D$11:$D$109,A17)+SUMIFS('Feb'!$E$11:$E$109,'Feb'!$C$11:$C$109,"Expense",'Feb'!$D$11:$D$109,A17)+SUMIFS('Mar'!$E$11:$E$109,'Mar'!$C$11:$C$109,"Expense",'Mar'!$D$11:$D$109,A17)+SUMIFS('Apr'!$E$11:$E$109,'Apr'!$C$11:$C$109,"Expense",'Apr'!$D$11:$D$109,A17)+SUMIFS('May'!$E$11:$E$109,'May'!$C$11:$C$109,"Expense",'May'!$D$11:$D$109,A17)+SUMIFS('Jun'!$E$11:$E$109,'Jun'!$C$11:$C$109,"Expense",'Jun'!$D$11:$D$109,A17)+SUMIFS('Jul'!$E$11:$E$109,'Jul'!$C$11:$C$109,"Expense",'Jul'!$D$11:$D$109,A17)+SUMIFS('Aug'!$E$11:$E$109,'Aug'!$C$11:$C$109,"Expense",'Aug'!$D$11:$D$109,A17)+SUMIFS('Sep'!$E$11:$E$109,'Sep'!$C$11:$C$109,"Expense",'Sep'!$D$11:$D$109,A17)+SUMIFS('Oct'!$E$11:$E$109,'Oct'!$C$11:$C$109,"Expense",'Oct'!$D$11:$D$109,A17)+SUMIFS('Nov'!$E$11:$E$109,'Nov'!$C$11:$C$109,"Expense",'Nov'!$D$11:$D$109,A17)+SUMIFS('Dec'!$E$11:$E$109,'Dec'!$C$11:$C$109,"Expense",'Dec'!$D$11:$D$109,A17)</x:f>
        <x:v>0</x:v>
      </x:c>
      <x:c r="D17" s="32" t="n">
        <x:f>B17-C17</x:f>
        <x:v>5400</x:v>
      </x:c>
      <x:c r="F17" s="31" t="str">
        <x:f>'Annual Summary'!A8</x:f>
        <x:v>April</x:v>
      </x:c>
      <x:c r="G17" s="32" t="n">
        <x:f>'Annual Summary'!C8</x:f>
        <x:v>0</x:v>
      </x:c>
      <x:c r="H17" s="32" t="n">
        <x:f>'Annual Summary'!E8</x:f>
        <x:v>0</x:v>
      </x:c>
      <x:c r="J17" s="31" t="str">
        <x:f>A17</x:f>
        <x:v>Transportation</x:v>
      </x:c>
      <x:c r="K17" s="32" t="n">
        <x:f>C17</x:f>
        <x:v>0</x:v>
      </x:c>
      <x:c r="L17" s="37" t="n">
        <x:f>IF(SUM($K$14:$K$25)=0,"",K17/SUM($K$14:$K$25))</x:f>
        <x:v>0</x:v>
      </x:c>
    </x:row>
    <x:row r="18">
      <x:c r="A18" s="31" t="str">
        <x:v>Insurance</x:v>
      </x:c>
      <x:c r="B18" s="32" t="n">
        <x:f>SUMIFS(Categories!$P$5:$P$19,Categories!$B$5:$B$19,A18)</x:f>
        <x:v>3600</x:v>
      </x:c>
      <x:c r="C18" s="32" t="n">
        <x:f>SUMIFS('Jan'!$E$11:$E$109,'Jan'!$C$11:$C$109,"Expense",'Jan'!$D$11:$D$109,A18)+SUMIFS('Feb'!$E$11:$E$109,'Feb'!$C$11:$C$109,"Expense",'Feb'!$D$11:$D$109,A18)+SUMIFS('Mar'!$E$11:$E$109,'Mar'!$C$11:$C$109,"Expense",'Mar'!$D$11:$D$109,A18)+SUMIFS('Apr'!$E$11:$E$109,'Apr'!$C$11:$C$109,"Expense",'Apr'!$D$11:$D$109,A18)+SUMIFS('May'!$E$11:$E$109,'May'!$C$11:$C$109,"Expense",'May'!$D$11:$D$109,A18)+SUMIFS('Jun'!$E$11:$E$109,'Jun'!$C$11:$C$109,"Expense",'Jun'!$D$11:$D$109,A18)+SUMIFS('Jul'!$E$11:$E$109,'Jul'!$C$11:$C$109,"Expense",'Jul'!$D$11:$D$109,A18)+SUMIFS('Aug'!$E$11:$E$109,'Aug'!$C$11:$C$109,"Expense",'Aug'!$D$11:$D$109,A18)+SUMIFS('Sep'!$E$11:$E$109,'Sep'!$C$11:$C$109,"Expense",'Sep'!$D$11:$D$109,A18)+SUMIFS('Oct'!$E$11:$E$109,'Oct'!$C$11:$C$109,"Expense",'Oct'!$D$11:$D$109,A18)+SUMIFS('Nov'!$E$11:$E$109,'Nov'!$C$11:$C$109,"Expense",'Nov'!$D$11:$D$109,A18)+SUMIFS('Dec'!$E$11:$E$109,'Dec'!$C$11:$C$109,"Expense",'Dec'!$D$11:$D$109,A18)</x:f>
        <x:v>0</x:v>
      </x:c>
      <x:c r="D18" s="32" t="n">
        <x:f>B18-C18</x:f>
        <x:v>3600</x:v>
      </x:c>
      <x:c r="F18" s="31" t="str">
        <x:f>'Annual Summary'!A9</x:f>
        <x:v>May</x:v>
      </x:c>
      <x:c r="G18" s="32" t="n">
        <x:f>'Annual Summary'!C9</x:f>
        <x:v>0</x:v>
      </x:c>
      <x:c r="H18" s="32" t="n">
        <x:f>'Annual Summary'!E9</x:f>
        <x:v>0</x:v>
      </x:c>
      <x:c r="J18" s="31" t="str">
        <x:f>A18</x:f>
        <x:v>Insurance</x:v>
      </x:c>
      <x:c r="K18" s="32" t="n">
        <x:f>C18</x:f>
        <x:v>0</x:v>
      </x:c>
      <x:c r="L18" s="37" t="n">
        <x:f>IF(SUM($K$14:$K$25)=0,"",K18/SUM($K$14:$K$25))</x:f>
        <x:v>0</x:v>
      </x:c>
    </x:row>
    <x:row r="19">
      <x:c r="A19" s="31" t="str">
        <x:v>Debt Payments</x:v>
      </x:c>
      <x:c r="B19" s="32" t="n">
        <x:f>SUMIFS(Categories!$P$5:$P$19,Categories!$B$5:$B$19,A19)</x:f>
        <x:v>4800</x:v>
      </x:c>
      <x:c r="C19" s="32" t="n">
        <x:f>SUMIFS('Jan'!$E$11:$E$109,'Jan'!$C$11:$C$109,"Expense",'Jan'!$D$11:$D$109,A19)+SUMIFS('Feb'!$E$11:$E$109,'Feb'!$C$11:$C$109,"Expense",'Feb'!$D$11:$D$109,A19)+SUMIFS('Mar'!$E$11:$E$109,'Mar'!$C$11:$C$109,"Expense",'Mar'!$D$11:$D$109,A19)+SUMIFS('Apr'!$E$11:$E$109,'Apr'!$C$11:$C$109,"Expense",'Apr'!$D$11:$D$109,A19)+SUMIFS('May'!$E$11:$E$109,'May'!$C$11:$C$109,"Expense",'May'!$D$11:$D$109,A19)+SUMIFS('Jun'!$E$11:$E$109,'Jun'!$C$11:$C$109,"Expense",'Jun'!$D$11:$D$109,A19)+SUMIFS('Jul'!$E$11:$E$109,'Jul'!$C$11:$C$109,"Expense",'Jul'!$D$11:$D$109,A19)+SUMIFS('Aug'!$E$11:$E$109,'Aug'!$C$11:$C$109,"Expense",'Aug'!$D$11:$D$109,A19)+SUMIFS('Sep'!$E$11:$E$109,'Sep'!$C$11:$C$109,"Expense",'Sep'!$D$11:$D$109,A19)+SUMIFS('Oct'!$E$11:$E$109,'Oct'!$C$11:$C$109,"Expense",'Oct'!$D$11:$D$109,A19)+SUMIFS('Nov'!$E$11:$E$109,'Nov'!$C$11:$C$109,"Expense",'Nov'!$D$11:$D$109,A19)+SUMIFS('Dec'!$E$11:$E$109,'Dec'!$C$11:$C$109,"Expense",'Dec'!$D$11:$D$109,A19)</x:f>
        <x:v>0</x:v>
      </x:c>
      <x:c r="D19" s="32" t="n">
        <x:f>B19-C19</x:f>
        <x:v>4800</x:v>
      </x:c>
      <x:c r="F19" s="31" t="str">
        <x:f>'Annual Summary'!A10</x:f>
        <x:v>June</x:v>
      </x:c>
      <x:c r="G19" s="32" t="n">
        <x:f>'Annual Summary'!C10</x:f>
        <x:v>0</x:v>
      </x:c>
      <x:c r="H19" s="32" t="n">
        <x:f>'Annual Summary'!E10</x:f>
        <x:v>0</x:v>
      </x:c>
      <x:c r="J19" s="31" t="str">
        <x:f>A19</x:f>
        <x:v>Debt Payments</x:v>
      </x:c>
      <x:c r="K19" s="32" t="n">
        <x:f>C19</x:f>
        <x:v>0</x:v>
      </x:c>
      <x:c r="L19" s="37" t="n">
        <x:f>IF(SUM($K$14:$K$25)=0,"",K19/SUM($K$14:$K$25))</x:f>
        <x:v>0</x:v>
      </x:c>
    </x:row>
    <x:row r="20">
      <x:c r="A20" s="31" t="str">
        <x:v>Subscriptions</x:v>
      </x:c>
      <x:c r="B20" s="32" t="n">
        <x:f>SUMIFS(Categories!$P$5:$P$19,Categories!$B$5:$B$19,A20)</x:f>
        <x:v>1440</x:v>
      </x:c>
      <x:c r="C20" s="32" t="n">
        <x:f>SUMIFS('Jan'!$E$11:$E$109,'Jan'!$C$11:$C$109,"Expense",'Jan'!$D$11:$D$109,A20)+SUMIFS('Feb'!$E$11:$E$109,'Feb'!$C$11:$C$109,"Expense",'Feb'!$D$11:$D$109,A20)+SUMIFS('Mar'!$E$11:$E$109,'Mar'!$C$11:$C$109,"Expense",'Mar'!$D$11:$D$109,A20)+SUMIFS('Apr'!$E$11:$E$109,'Apr'!$C$11:$C$109,"Expense",'Apr'!$D$11:$D$109,A20)+SUMIFS('May'!$E$11:$E$109,'May'!$C$11:$C$109,"Expense",'May'!$D$11:$D$109,A20)+SUMIFS('Jun'!$E$11:$E$109,'Jun'!$C$11:$C$109,"Expense",'Jun'!$D$11:$D$109,A20)+SUMIFS('Jul'!$E$11:$E$109,'Jul'!$C$11:$C$109,"Expense",'Jul'!$D$11:$D$109,A20)+SUMIFS('Aug'!$E$11:$E$109,'Aug'!$C$11:$C$109,"Expense",'Aug'!$D$11:$D$109,A20)+SUMIFS('Sep'!$E$11:$E$109,'Sep'!$C$11:$C$109,"Expense",'Sep'!$D$11:$D$109,A20)+SUMIFS('Oct'!$E$11:$E$109,'Oct'!$C$11:$C$109,"Expense",'Oct'!$D$11:$D$109,A20)+SUMIFS('Nov'!$E$11:$E$109,'Nov'!$C$11:$C$109,"Expense",'Nov'!$D$11:$D$109,A20)+SUMIFS('Dec'!$E$11:$E$109,'Dec'!$C$11:$C$109,"Expense",'Dec'!$D$11:$D$109,A20)</x:f>
        <x:v>0</x:v>
      </x:c>
      <x:c r="D20" s="32" t="n">
        <x:f>B20-C20</x:f>
        <x:v>1440</x:v>
      </x:c>
      <x:c r="F20" s="31" t="str">
        <x:f>'Annual Summary'!A11</x:f>
        <x:v>July</x:v>
      </x:c>
      <x:c r="G20" s="32" t="n">
        <x:f>'Annual Summary'!C11</x:f>
        <x:v>0</x:v>
      </x:c>
      <x:c r="H20" s="32" t="n">
        <x:f>'Annual Summary'!E11</x:f>
        <x:v>0</x:v>
      </x:c>
      <x:c r="J20" s="31" t="str">
        <x:f>A20</x:f>
        <x:v>Subscriptions</x:v>
      </x:c>
      <x:c r="K20" s="32" t="n">
        <x:f>C20</x:f>
        <x:v>0</x:v>
      </x:c>
      <x:c r="L20" s="37" t="n">
        <x:f>IF(SUM($K$14:$K$25)=0,"",K20/SUM($K$14:$K$25))</x:f>
        <x:v>0</x:v>
      </x:c>
    </x:row>
    <x:row r="21">
      <x:c r="A21" s="31" t="str">
        <x:v>Health</x:v>
      </x:c>
      <x:c r="B21" s="32" t="n">
        <x:f>SUMIFS(Categories!$P$5:$P$19,Categories!$B$5:$B$19,A21)</x:f>
        <x:v>3000</x:v>
      </x:c>
      <x:c r="C21" s="32" t="n">
        <x:f>SUMIFS('Jan'!$E$11:$E$109,'Jan'!$C$11:$C$109,"Expense",'Jan'!$D$11:$D$109,A21)+SUMIFS('Feb'!$E$11:$E$109,'Feb'!$C$11:$C$109,"Expense",'Feb'!$D$11:$D$109,A21)+SUMIFS('Mar'!$E$11:$E$109,'Mar'!$C$11:$C$109,"Expense",'Mar'!$D$11:$D$109,A21)+SUMIFS('Apr'!$E$11:$E$109,'Apr'!$C$11:$C$109,"Expense",'Apr'!$D$11:$D$109,A21)+SUMIFS('May'!$E$11:$E$109,'May'!$C$11:$C$109,"Expense",'May'!$D$11:$D$109,A21)+SUMIFS('Jun'!$E$11:$E$109,'Jun'!$C$11:$C$109,"Expense",'Jun'!$D$11:$D$109,A21)+SUMIFS('Jul'!$E$11:$E$109,'Jul'!$C$11:$C$109,"Expense",'Jul'!$D$11:$D$109,A21)+SUMIFS('Aug'!$E$11:$E$109,'Aug'!$C$11:$C$109,"Expense",'Aug'!$D$11:$D$109,A21)+SUMIFS('Sep'!$E$11:$E$109,'Sep'!$C$11:$C$109,"Expense",'Sep'!$D$11:$D$109,A21)+SUMIFS('Oct'!$E$11:$E$109,'Oct'!$C$11:$C$109,"Expense",'Oct'!$D$11:$D$109,A21)+SUMIFS('Nov'!$E$11:$E$109,'Nov'!$C$11:$C$109,"Expense",'Nov'!$D$11:$D$109,A21)+SUMIFS('Dec'!$E$11:$E$109,'Dec'!$C$11:$C$109,"Expense",'Dec'!$D$11:$D$109,A21)</x:f>
        <x:v>0</x:v>
      </x:c>
      <x:c r="D21" s="32" t="n">
        <x:f>B21-C21</x:f>
        <x:v>3000</x:v>
      </x:c>
      <x:c r="F21" s="31" t="str">
        <x:f>'Annual Summary'!A12</x:f>
        <x:v>August</x:v>
      </x:c>
      <x:c r="G21" s="32" t="n">
        <x:f>'Annual Summary'!C12</x:f>
        <x:v>0</x:v>
      </x:c>
      <x:c r="H21" s="32" t="n">
        <x:f>'Annual Summary'!E12</x:f>
        <x:v>0</x:v>
      </x:c>
      <x:c r="J21" s="31" t="str">
        <x:f>A21</x:f>
        <x:v>Health</x:v>
      </x:c>
      <x:c r="K21" s="32" t="n">
        <x:f>C21</x:f>
        <x:v>0</x:v>
      </x:c>
      <x:c r="L21" s="37" t="n">
        <x:f>IF(SUM($K$14:$K$25)=0,"",K21/SUM($K$14:$K$25))</x:f>
        <x:v>0</x:v>
      </x:c>
    </x:row>
    <x:row r="22">
      <x:c r="A22" s="31" t="str">
        <x:v>Dining Out</x:v>
      </x:c>
      <x:c r="B22" s="32" t="n">
        <x:f>SUMIFS(Categories!$P$5:$P$19,Categories!$B$5:$B$19,A22)</x:f>
        <x:v>4200</x:v>
      </x:c>
      <x:c r="C22" s="32" t="n">
        <x:f>SUMIFS('Jan'!$E$11:$E$109,'Jan'!$C$11:$C$109,"Expense",'Jan'!$D$11:$D$109,A22)+SUMIFS('Feb'!$E$11:$E$109,'Feb'!$C$11:$C$109,"Expense",'Feb'!$D$11:$D$109,A22)+SUMIFS('Mar'!$E$11:$E$109,'Mar'!$C$11:$C$109,"Expense",'Mar'!$D$11:$D$109,A22)+SUMIFS('Apr'!$E$11:$E$109,'Apr'!$C$11:$C$109,"Expense",'Apr'!$D$11:$D$109,A22)+SUMIFS('May'!$E$11:$E$109,'May'!$C$11:$C$109,"Expense",'May'!$D$11:$D$109,A22)+SUMIFS('Jun'!$E$11:$E$109,'Jun'!$C$11:$C$109,"Expense",'Jun'!$D$11:$D$109,A22)+SUMIFS('Jul'!$E$11:$E$109,'Jul'!$C$11:$C$109,"Expense",'Jul'!$D$11:$D$109,A22)+SUMIFS('Aug'!$E$11:$E$109,'Aug'!$C$11:$C$109,"Expense",'Aug'!$D$11:$D$109,A22)+SUMIFS('Sep'!$E$11:$E$109,'Sep'!$C$11:$C$109,"Expense",'Sep'!$D$11:$D$109,A22)+SUMIFS('Oct'!$E$11:$E$109,'Oct'!$C$11:$C$109,"Expense",'Oct'!$D$11:$D$109,A22)+SUMIFS('Nov'!$E$11:$E$109,'Nov'!$C$11:$C$109,"Expense",'Nov'!$D$11:$D$109,A22)+SUMIFS('Dec'!$E$11:$E$109,'Dec'!$C$11:$C$109,"Expense",'Dec'!$D$11:$D$109,A22)</x:f>
        <x:v>85</x:v>
      </x:c>
      <x:c r="D22" s="32" t="n">
        <x:f>B22-C22</x:f>
        <x:v>4115</x:v>
      </x:c>
      <x:c r="F22" s="31" t="str">
        <x:f>'Annual Summary'!A13</x:f>
        <x:v>September</x:v>
      </x:c>
      <x:c r="G22" s="32" t="n">
        <x:f>'Annual Summary'!C13</x:f>
        <x:v>0</x:v>
      </x:c>
      <x:c r="H22" s="32" t="n">
        <x:f>'Annual Summary'!E13</x:f>
        <x:v>0</x:v>
      </x:c>
      <x:c r="J22" s="31" t="str">
        <x:f>A22</x:f>
        <x:v>Dining Out</x:v>
      </x:c>
      <x:c r="K22" s="32" t="n">
        <x:f>C22</x:f>
        <x:v>85</x:v>
      </x:c>
      <x:c r="L22" s="37" t="n">
        <x:f>IF(SUM($K$14:$K$25)=0,"",K22/SUM($K$14:$K$25))</x:f>
        <x:v>0.037444933920704845</x:v>
      </x:c>
    </x:row>
    <x:row r="23">
      <x:c r="A23" s="31" t="str">
        <x:v>Entertainment</x:v>
      </x:c>
      <x:c r="B23" s="32" t="n">
        <x:f>SUMIFS(Categories!$P$5:$P$19,Categories!$B$5:$B$19,A23)</x:f>
        <x:v>3000</x:v>
      </x:c>
      <x:c r="C23" s="32" t="n">
        <x:f>SUMIFS('Jan'!$E$11:$E$109,'Jan'!$C$11:$C$109,"Expense",'Jan'!$D$11:$D$109,A23)+SUMIFS('Feb'!$E$11:$E$109,'Feb'!$C$11:$C$109,"Expense",'Feb'!$D$11:$D$109,A23)+SUMIFS('Mar'!$E$11:$E$109,'Mar'!$C$11:$C$109,"Expense",'Mar'!$D$11:$D$109,A23)+SUMIFS('Apr'!$E$11:$E$109,'Apr'!$C$11:$C$109,"Expense",'Apr'!$D$11:$D$109,A23)+SUMIFS('May'!$E$11:$E$109,'May'!$C$11:$C$109,"Expense",'May'!$D$11:$D$109,A23)+SUMIFS('Jun'!$E$11:$E$109,'Jun'!$C$11:$C$109,"Expense",'Jun'!$D$11:$D$109,A23)+SUMIFS('Jul'!$E$11:$E$109,'Jul'!$C$11:$C$109,"Expense",'Jul'!$D$11:$D$109,A23)+SUMIFS('Aug'!$E$11:$E$109,'Aug'!$C$11:$C$109,"Expense",'Aug'!$D$11:$D$109,A23)+SUMIFS('Sep'!$E$11:$E$109,'Sep'!$C$11:$C$109,"Expense",'Sep'!$D$11:$D$109,A23)+SUMIFS('Oct'!$E$11:$E$109,'Oct'!$C$11:$C$109,"Expense",'Oct'!$D$11:$D$109,A23)+SUMIFS('Nov'!$E$11:$E$109,'Nov'!$C$11:$C$109,"Expense",'Nov'!$D$11:$D$109,A23)+SUMIFS('Dec'!$E$11:$E$109,'Dec'!$C$11:$C$109,"Expense",'Dec'!$D$11:$D$109,A23)</x:f>
        <x:v>0</x:v>
      </x:c>
      <x:c r="D23" s="32" t="n">
        <x:f>B23-C23</x:f>
        <x:v>3000</x:v>
      </x:c>
      <x:c r="F23" s="31" t="str">
        <x:f>'Annual Summary'!A14</x:f>
        <x:v>October</x:v>
      </x:c>
      <x:c r="G23" s="32" t="n">
        <x:f>'Annual Summary'!C14</x:f>
        <x:v>0</x:v>
      </x:c>
      <x:c r="H23" s="32" t="n">
        <x:f>'Annual Summary'!E14</x:f>
        <x:v>0</x:v>
      </x:c>
      <x:c r="J23" s="31" t="str">
        <x:f>A23</x:f>
        <x:v>Entertainment</x:v>
      </x:c>
      <x:c r="K23" s="32" t="n">
        <x:f>C23</x:f>
        <x:v>0</x:v>
      </x:c>
      <x:c r="L23" s="37" t="n">
        <x:f>IF(SUM($K$14:$K$25)=0,"",K23/SUM($K$14:$K$25))</x:f>
        <x:v>0</x:v>
      </x:c>
    </x:row>
    <x:row r="24">
      <x:c r="A24" s="31" t="str">
        <x:v>Savings Transfer</x:v>
      </x:c>
      <x:c r="B24" s="32" t="n">
        <x:f>SUMIFS(Categories!$P$5:$P$19,Categories!$B$5:$B$19,A24)</x:f>
        <x:v>12000</x:v>
      </x:c>
      <x:c r="C24" s="32" t="n">
        <x:f>SUMIFS('Jan'!$E$11:$E$109,'Jan'!$C$11:$C$109,"Expense",'Jan'!$D$11:$D$109,A24)+SUMIFS('Feb'!$E$11:$E$109,'Feb'!$C$11:$C$109,"Expense",'Feb'!$D$11:$D$109,A24)+SUMIFS('Mar'!$E$11:$E$109,'Mar'!$C$11:$C$109,"Expense",'Mar'!$D$11:$D$109,A24)+SUMIFS('Apr'!$E$11:$E$109,'Apr'!$C$11:$C$109,"Expense",'Apr'!$D$11:$D$109,A24)+SUMIFS('May'!$E$11:$E$109,'May'!$C$11:$C$109,"Expense",'May'!$D$11:$D$109,A24)+SUMIFS('Jun'!$E$11:$E$109,'Jun'!$C$11:$C$109,"Expense",'Jun'!$D$11:$D$109,A24)+SUMIFS('Jul'!$E$11:$E$109,'Jul'!$C$11:$C$109,"Expense",'Jul'!$D$11:$D$109,A24)+SUMIFS('Aug'!$E$11:$E$109,'Aug'!$C$11:$C$109,"Expense",'Aug'!$D$11:$D$109,A24)+SUMIFS('Sep'!$E$11:$E$109,'Sep'!$C$11:$C$109,"Expense",'Sep'!$D$11:$D$109,A24)+SUMIFS('Oct'!$E$11:$E$109,'Oct'!$C$11:$C$109,"Expense",'Oct'!$D$11:$D$109,A24)+SUMIFS('Nov'!$E$11:$E$109,'Nov'!$C$11:$C$109,"Expense",'Nov'!$D$11:$D$109,A24)+SUMIFS('Dec'!$E$11:$E$109,'Dec'!$C$11:$C$109,"Expense",'Dec'!$D$11:$D$109,A24)</x:f>
        <x:v>0</x:v>
      </x:c>
      <x:c r="D24" s="32" t="n">
        <x:f>B24-C24</x:f>
        <x:v>12000</x:v>
      </x:c>
      <x:c r="F24" s="31" t="str">
        <x:f>'Annual Summary'!A15</x:f>
        <x:v>November</x:v>
      </x:c>
      <x:c r="G24" s="32" t="n">
        <x:f>'Annual Summary'!C15</x:f>
        <x:v>0</x:v>
      </x:c>
      <x:c r="H24" s="32" t="n">
        <x:f>'Annual Summary'!E15</x:f>
        <x:v>0</x:v>
      </x:c>
      <x:c r="J24" s="31" t="str">
        <x:f>A24</x:f>
        <x:v>Savings Transfer</x:v>
      </x:c>
      <x:c r="K24" s="32" t="n">
        <x:f>C24</x:f>
        <x:v>0</x:v>
      </x:c>
      <x:c r="L24" s="37" t="n">
        <x:f>IF(SUM($K$14:$K$25)=0,"",K24/SUM($K$14:$K$25))</x:f>
        <x:v>0</x:v>
      </x:c>
    </x:row>
    <x:row r="25">
      <x:c r="A25" s="31" t="str">
        <x:v>Miscellaneous</x:v>
      </x:c>
      <x:c r="B25" s="32" t="n">
        <x:f>SUMIFS(Categories!$P$5:$P$19,Categories!$B$5:$B$19,A25)</x:f>
        <x:v>3600</x:v>
      </x:c>
      <x:c r="C25" s="32" t="n">
        <x:f>SUMIFS('Jan'!$E$11:$E$109,'Jan'!$C$11:$C$109,"Expense",'Jan'!$D$11:$D$109,A25)+SUMIFS('Feb'!$E$11:$E$109,'Feb'!$C$11:$C$109,"Expense",'Feb'!$D$11:$D$109,A25)+SUMIFS('Mar'!$E$11:$E$109,'Mar'!$C$11:$C$109,"Expense",'Mar'!$D$11:$D$109,A25)+SUMIFS('Apr'!$E$11:$E$109,'Apr'!$C$11:$C$109,"Expense",'Apr'!$D$11:$D$109,A25)+SUMIFS('May'!$E$11:$E$109,'May'!$C$11:$C$109,"Expense",'May'!$D$11:$D$109,A25)+SUMIFS('Jun'!$E$11:$E$109,'Jun'!$C$11:$C$109,"Expense",'Jun'!$D$11:$D$109,A25)+SUMIFS('Jul'!$E$11:$E$109,'Jul'!$C$11:$C$109,"Expense",'Jul'!$D$11:$D$109,A25)+SUMIFS('Aug'!$E$11:$E$109,'Aug'!$C$11:$C$109,"Expense",'Aug'!$D$11:$D$109,A25)+SUMIFS('Sep'!$E$11:$E$109,'Sep'!$C$11:$C$109,"Expense",'Sep'!$D$11:$D$109,A25)+SUMIFS('Oct'!$E$11:$E$109,'Oct'!$C$11:$C$109,"Expense",'Oct'!$D$11:$D$109,A25)+SUMIFS('Nov'!$E$11:$E$109,'Nov'!$C$11:$C$109,"Expense",'Nov'!$D$11:$D$109,A25)+SUMIFS('Dec'!$E$11:$E$109,'Dec'!$C$11:$C$109,"Expense",'Dec'!$D$11:$D$109,A25)</x:f>
        <x:v>0</x:v>
      </x:c>
      <x:c r="D25" s="32" t="n">
        <x:f>B25-C25</x:f>
        <x:v>3600</x:v>
      </x:c>
      <x:c r="F25" s="31" t="str">
        <x:f>'Annual Summary'!A16</x:f>
        <x:v>December</x:v>
      </x:c>
      <x:c r="G25" s="32" t="n">
        <x:f>'Annual Summary'!C16</x:f>
        <x:v>0</x:v>
      </x:c>
      <x:c r="H25" s="32" t="n">
        <x:f>'Annual Summary'!E16</x:f>
        <x:v>0</x:v>
      </x:c>
      <x:c r="J25" s="31" t="str">
        <x:f>A25</x:f>
        <x:v>Miscellaneous</x:v>
      </x:c>
      <x:c r="K25" s="32" t="n">
        <x:f>C25</x:f>
        <x:v>0</x:v>
      </x:c>
      <x:c r="L25" s="37" t="n">
        <x:f>IF(SUM($K$14:$K$25)=0,"",K25/SUM($K$14:$K$25))</x:f>
        <x:v>0</x:v>
      </x:c>
    </x:row>
    <x:row r="46">
      <x:c r="A46" s="40" t="str">
        <x:v>Workbook guide: update the Categories tab for planned budgets, then enter transactions on each monthly tab. Use Paid? to track open items.</x:v>
      </x:c>
      <x:c r="B46" s="40" t="str">
        <x:v>Workbook guide: update the Categories tab for planned budgets, then enter transactions on each monthly tab. Use Paid? to track open items.</x:v>
      </x:c>
      <x:c r="C46" s="40" t="str">
        <x:v>Workbook guide: update the Categories tab for planned budgets, then enter transactions on each monthly tab. Use Paid? to track open items.</x:v>
      </x:c>
      <x:c r="D46" s="40" t="str">
        <x:v>Workbook guide: update the Categories tab for planned budgets, then enter transactions on each monthly tab. Use Paid? to track open items.</x:v>
      </x:c>
      <x:c r="E46" s="40" t="str">
        <x:v>Workbook guide: update the Categories tab for planned budgets, then enter transactions on each monthly tab. Use Paid? to track open items.</x:v>
      </x:c>
      <x:c r="F46" s="40" t="str">
        <x:v>Workbook guide: update the Categories tab for planned budgets, then enter transactions on each monthly tab. Use Paid? to track open items.</x:v>
      </x:c>
      <x:c r="G46" s="40" t="str">
        <x:v>Workbook guide: update the Categories tab for planned budgets, then enter transactions on each monthly tab. Use Paid? to track open items.</x:v>
      </x:c>
      <x:c r="H46" s="40" t="str">
        <x:v>Workbook guide: update the Categories tab for planned budgets, then enter transactions on each monthly tab. Use Paid? to track open items.</x:v>
      </x:c>
      <x:c r="I46" s="40" t="str">
        <x:v>Workbook guide: update the Categories tab for planned budgets, then enter transactions on each monthly tab. Use Paid? to track open items.</x:v>
      </x:c>
      <x:c r="J46" s="40" t="str">
        <x:v>Workbook guide: update the Categories tab for planned budgets, then enter transactions on each monthly tab. Use Paid? to track open items.</x:v>
      </x:c>
      <x:c r="K46" s="40" t="str">
        <x:v>Workbook guide: update the Categories tab for planned budgets, then enter transactions on each monthly tab. Use Paid? to track open items.</x:v>
      </x:c>
      <x:c r="L46" s="40" t="str">
        <x:v>Workbook guide: update the Categories tab for planned budgets, then enter transactions on each monthly tab. Use Paid? to track open items.</x:v>
      </x:c>
    </x:row>
  </x:sheetData>
  <x:mergeCells>
    <x:mergeCell ref="A1:L1"/>
    <x:mergeCell ref="A2:L2"/>
    <x:mergeCell ref="A4:D4"/>
    <x:mergeCell ref="A5:D6"/>
    <x:mergeCell ref="F4:H4"/>
    <x:mergeCell ref="F5:H6"/>
    <x:mergeCell ref="J4:L4"/>
    <x:mergeCell ref="J5:L6"/>
    <x:mergeCell ref="A8:D8"/>
    <x:mergeCell ref="A9:D10"/>
    <x:mergeCell ref="F8:H8"/>
    <x:mergeCell ref="F9:H10"/>
    <x:mergeCell ref="J8:L8"/>
    <x:mergeCell ref="J9:L10"/>
    <x:mergeCell ref="A46:L46"/>
  </x:mergeCells>
  <x:pageMargins left="0.7" right="0.7" top="0.75" bottom="0.75" header="0.3" footer="0.3"/>
  <x:drawing xmlns:r="http://schemas.openxmlformats.org/officeDocument/2006/relationships" r:id="Re253f248d7ae47ee"/>
  <x:tableParts count="1">
    <x:tablePart xmlns:r="http://schemas.openxmlformats.org/officeDocument/2006/relationships" r:id="R1993f9d5d1f845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1.530000686645508" hidden="0" customWidth="1"/>
    <x:col min="3" max="3" width="15.479999542236328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11.710000038146973" hidden="0" customWidth="1"/>
    <x:col min="8" max="8" width="11.710000038146973" hidden="0" customWidth="1"/>
    <x:col min="9" max="9" width="11.710000038146973" hidden="0" customWidth="1"/>
    <x:col min="10" max="10" width="11.710000038146973" hidden="0" customWidth="1"/>
    <x:col min="11" max="11" width="11.710000038146973" hidden="0" customWidth="1"/>
    <x:col min="12" max="12" width="11.710000038146973" hidden="0" customWidth="1"/>
    <x:col min="13" max="13" width="11.710000038146973" hidden="0" customWidth="1"/>
    <x:col min="14" max="14" width="11.710000038146973" hidden="0" customWidth="1"/>
    <x:col min="15" max="15" width="11.710000038146973" hidden="0" customWidth="1"/>
    <x:col min="16" max="16" width="15.479999542236328" hidden="0" customWidth="1"/>
  </x:cols>
  <x:sheetData>
    <x:row r="1" ht="25.5" customHeight="1">
      <x:c r="A1" s="4" t="str">
        <x:v>2026 Budget Categories</x:v>
      </x:c>
      <x:c r="B1" s="4" t="str">
        <x:v>2026 Budget Categories</x:v>
      </x:c>
      <x:c r="C1" s="4" t="str">
        <x:v>2026 Budget Categories</x:v>
      </x:c>
      <x:c r="D1" s="4" t="str">
        <x:v>2026 Budget Categories</x:v>
      </x:c>
      <x:c r="E1" s="4" t="str">
        <x:v>2026 Budget Categories</x:v>
      </x:c>
      <x:c r="F1" s="4" t="str">
        <x:v>2026 Budget Categories</x:v>
      </x:c>
      <x:c r="G1" s="4" t="str">
        <x:v>2026 Budget Categories</x:v>
      </x:c>
      <x:c r="H1" s="4" t="str">
        <x:v>2026 Budget Categories</x:v>
      </x:c>
      <x:c r="I1" s="4" t="str">
        <x:v>2026 Budget Categories</x:v>
      </x:c>
      <x:c r="J1" s="4" t="str">
        <x:v>2026 Budget Categories</x:v>
      </x:c>
      <x:c r="K1" s="4" t="str">
        <x:v>2026 Budget Categories</x:v>
      </x:c>
      <x:c r="L1" s="4" t="str">
        <x:v>2026 Budget Categories</x:v>
      </x:c>
      <x:c r="M1" s="4" t="str">
        <x:v>2026 Budget Categories</x:v>
      </x:c>
      <x:c r="N1" s="4" t="str">
        <x:v>2026 Budget Categories</x:v>
      </x:c>
      <x:c r="O1" s="4" t="str">
        <x:v>2026 Budget Categories</x:v>
      </x:c>
      <x:c r="P1" s="4" t="str">
        <x:v>2026 Budget Categories</x:v>
      </x:c>
    </x:row>
    <x:row r="2">
      <x:c r="A2" s="7" t="str">
        <x:v>Edit category names and budgets here; monthly tabs and dashboard update automatically.</x:v>
      </x:c>
      <x:c r="B2" s="7" t="str">
        <x:v>Edit category names and budgets here; monthly tabs and dashboard update automatically.</x:v>
      </x:c>
      <x:c r="C2" s="7" t="str">
        <x:v>Edit category names and budgets here; monthly tabs and dashboard update automatically.</x:v>
      </x:c>
      <x:c r="D2" s="7" t="str">
        <x:v>Edit category names and budgets here; monthly tabs and dashboard update automatically.</x:v>
      </x:c>
      <x:c r="E2" s="7" t="str">
        <x:v>Edit category names and budgets here; monthly tabs and dashboard update automatically.</x:v>
      </x:c>
      <x:c r="F2" s="7" t="str">
        <x:v>Edit category names and budgets here; monthly tabs and dashboard update automatically.</x:v>
      </x:c>
      <x:c r="G2" s="7" t="str">
        <x:v>Edit category names and budgets here; monthly tabs and dashboard update automatically.</x:v>
      </x:c>
      <x:c r="H2" s="7" t="str">
        <x:v>Edit category names and budgets here; monthly tabs and dashboard update automatically.</x:v>
      </x:c>
      <x:c r="I2" s="7" t="str">
        <x:v>Edit category names and budgets here; monthly tabs and dashboard update automatically.</x:v>
      </x:c>
      <x:c r="J2" s="7" t="str">
        <x:v>Edit category names and budgets here; monthly tabs and dashboard update automatically.</x:v>
      </x:c>
      <x:c r="K2" s="7" t="str">
        <x:v>Edit category names and budgets here; monthly tabs and dashboard update automatically.</x:v>
      </x:c>
      <x:c r="L2" s="7" t="str">
        <x:v>Edit category names and budgets here; monthly tabs and dashboard update automatically.</x:v>
      </x:c>
      <x:c r="M2" s="7" t="str">
        <x:v>Edit category names and budgets here; monthly tabs and dashboard update automatically.</x:v>
      </x:c>
      <x:c r="N2" s="7" t="str">
        <x:v>Edit category names and budgets here; monthly tabs and dashboard update automatically.</x:v>
      </x:c>
      <x:c r="O2" s="7" t="str">
        <x:v>Edit category names and budgets here; monthly tabs and dashboard update automatically.</x:v>
      </x:c>
      <x:c r="P2" s="7" t="str">
        <x:v>Edit category names and budgets here; monthly tabs and dashboard update automatically.</x:v>
      </x:c>
    </x:row>
    <x:row r="4">
      <x:c r="A4" s="44" t="str">
        <x:v>Type</x:v>
      </x:c>
      <x:c r="B4" s="44" t="str">
        <x:v>Category</x:v>
      </x:c>
      <x:c r="C4" s="44" t="str">
        <x:v>Monthly Default</x:v>
      </x:c>
      <x:c r="D4" s="44" t="str">
        <x:v>Jan</x:v>
      </x:c>
      <x:c r="E4" s="44" t="str">
        <x:v>Feb</x:v>
      </x:c>
      <x:c r="F4" s="44" t="str">
        <x:v>Mar</x:v>
      </x:c>
      <x:c r="G4" s="44" t="str">
        <x:v>Apr</x:v>
      </x:c>
      <x:c r="H4" s="44" t="str">
        <x:v>May</x:v>
      </x:c>
      <x:c r="I4" s="44" t="str">
        <x:v>Jun</x:v>
      </x:c>
      <x:c r="J4" s="44" t="str">
        <x:v>Jul</x:v>
      </x:c>
      <x:c r="K4" s="44" t="str">
        <x:v>Aug</x:v>
      </x:c>
      <x:c r="L4" s="44" t="str">
        <x:v>Sep</x:v>
      </x:c>
      <x:c r="M4" s="44" t="str">
        <x:v>Oct</x:v>
      </x:c>
      <x:c r="N4" s="44" t="str">
        <x:v>Nov</x:v>
      </x:c>
      <x:c r="O4" s="44" t="str">
        <x:v>Dec</x:v>
      </x:c>
      <x:c r="P4" s="44" t="str">
        <x:v>Annual Budget</x:v>
      </x:c>
    </x:row>
    <x:row r="5">
      <x:c r="A5" s="31" t="str">
        <x:v>Income</x:v>
      </x:c>
      <x:c r="B5" s="31" t="str">
        <x:v>Salary</x:v>
      </x:c>
      <x:c r="C5" s="32" t="n">
        <x:v>6500</x:v>
      </x:c>
      <x:c r="D5" s="32" t="n">
        <x:v>6500</x:v>
      </x:c>
      <x:c r="E5" s="32" t="n">
        <x:v>6500</x:v>
      </x:c>
      <x:c r="F5" s="32" t="n">
        <x:v>6500</x:v>
      </x:c>
      <x:c r="G5" s="32" t="n">
        <x:v>6500</x:v>
      </x:c>
      <x:c r="H5" s="32" t="n">
        <x:v>6500</x:v>
      </x:c>
      <x:c r="I5" s="32" t="n">
        <x:v>6500</x:v>
      </x:c>
      <x:c r="J5" s="32" t="n">
        <x:v>6500</x:v>
      </x:c>
      <x:c r="K5" s="32" t="n">
        <x:v>6500</x:v>
      </x:c>
      <x:c r="L5" s="32" t="n">
        <x:v>6500</x:v>
      </x:c>
      <x:c r="M5" s="32" t="n">
        <x:v>6500</x:v>
      </x:c>
      <x:c r="N5" s="32" t="n">
        <x:v>6500</x:v>
      </x:c>
      <x:c r="O5" s="32" t="n">
        <x:v>6500</x:v>
      </x:c>
      <x:c r="P5" s="32" t="n">
        <x:f>SUM(D5:O5)</x:f>
        <x:v>78000</x:v>
      </x:c>
    </x:row>
    <x:row r="6">
      <x:c r="A6" s="31" t="str">
        <x:v>Income</x:v>
      </x:c>
      <x:c r="B6" s="31" t="str">
        <x:v>Side Income</x:v>
      </x:c>
      <x:c r="C6" s="32" t="n">
        <x:v>500</x:v>
      </x:c>
      <x:c r="D6" s="32" t="n">
        <x:v>500</x:v>
      </x:c>
      <x:c r="E6" s="32" t="n">
        <x:v>500</x:v>
      </x:c>
      <x:c r="F6" s="32" t="n">
        <x:v>500</x:v>
      </x:c>
      <x:c r="G6" s="32" t="n">
        <x:v>500</x:v>
      </x:c>
      <x:c r="H6" s="32" t="n">
        <x:v>500</x:v>
      </x:c>
      <x:c r="I6" s="32" t="n">
        <x:v>500</x:v>
      </x:c>
      <x:c r="J6" s="32" t="n">
        <x:v>500</x:v>
      </x:c>
      <x:c r="K6" s="32" t="n">
        <x:v>500</x:v>
      </x:c>
      <x:c r="L6" s="32" t="n">
        <x:v>500</x:v>
      </x:c>
      <x:c r="M6" s="32" t="n">
        <x:v>500</x:v>
      </x:c>
      <x:c r="N6" s="32" t="n">
        <x:v>500</x:v>
      </x:c>
      <x:c r="O6" s="32" t="n">
        <x:v>500</x:v>
      </x:c>
      <x:c r="P6" s="32" t="n">
        <x:f>SUM(D6:O6)</x:f>
        <x:v>6000</x:v>
      </x:c>
    </x:row>
    <x:row r="7">
      <x:c r="A7" s="31" t="str">
        <x:v>Income</x:v>
      </x:c>
      <x:c r="B7" s="31" t="str">
        <x:v>Other Income</x:v>
      </x:c>
      <x:c r="C7" s="32" t="n">
        <x:v>0</x:v>
      </x:c>
      <x:c r="D7" s="32" t="n">
        <x:v>0</x:v>
      </x:c>
      <x:c r="E7" s="32" t="n">
        <x:v>0</x:v>
      </x:c>
      <x:c r="F7" s="32" t="n">
        <x:v>0</x:v>
      </x:c>
      <x:c r="G7" s="32" t="n">
        <x:v>0</x:v>
      </x:c>
      <x:c r="H7" s="32" t="n">
        <x:v>0</x:v>
      </x:c>
      <x:c r="I7" s="32" t="n">
        <x:v>0</x:v>
      </x:c>
      <x:c r="J7" s="32" t="n">
        <x:v>0</x:v>
      </x:c>
      <x:c r="K7" s="32" t="n">
        <x:v>0</x:v>
      </x:c>
      <x:c r="L7" s="32" t="n">
        <x:v>0</x:v>
      </x:c>
      <x:c r="M7" s="32" t="n">
        <x:v>0</x:v>
      </x:c>
      <x:c r="N7" s="32" t="n">
        <x:v>0</x:v>
      </x:c>
      <x:c r="O7" s="32" t="n">
        <x:v>0</x:v>
      </x:c>
      <x:c r="P7" s="32" t="n">
        <x:f>SUM(D7:O7)</x:f>
        <x:v>0</x:v>
      </x:c>
    </x:row>
    <x:row r="8">
      <x:c r="A8" s="31" t="str">
        <x:v>Expense</x:v>
      </x:c>
      <x:c r="B8" s="31" t="str">
        <x:v>Housing</x:v>
      </x:c>
      <x:c r="C8" s="32" t="n">
        <x:v>1800</x:v>
      </x:c>
      <x:c r="D8" s="32" t="n">
        <x:v>1800</x:v>
      </x:c>
      <x:c r="E8" s="32" t="n">
        <x:v>1800</x:v>
      </x:c>
      <x:c r="F8" s="32" t="n">
        <x:v>1800</x:v>
      </x:c>
      <x:c r="G8" s="32" t="n">
        <x:v>1800</x:v>
      </x:c>
      <x:c r="H8" s="32" t="n">
        <x:v>1800</x:v>
      </x:c>
      <x:c r="I8" s="32" t="n">
        <x:v>1800</x:v>
      </x:c>
      <x:c r="J8" s="32" t="n">
        <x:v>1800</x:v>
      </x:c>
      <x:c r="K8" s="32" t="n">
        <x:v>1800</x:v>
      </x:c>
      <x:c r="L8" s="32" t="n">
        <x:v>1800</x:v>
      </x:c>
      <x:c r="M8" s="32" t="n">
        <x:v>1800</x:v>
      </x:c>
      <x:c r="N8" s="32" t="n">
        <x:v>1800</x:v>
      </x:c>
      <x:c r="O8" s="32" t="n">
        <x:v>1800</x:v>
      </x:c>
      <x:c r="P8" s="32" t="n">
        <x:f>SUM(D8:O8)</x:f>
        <x:v>21600</x:v>
      </x:c>
    </x:row>
    <x:row r="9">
      <x:c r="A9" s="31" t="str">
        <x:v>Expense</x:v>
      </x:c>
      <x:c r="B9" s="31" t="str">
        <x:v>Utilities</x:v>
      </x:c>
      <x:c r="C9" s="32" t="n">
        <x:v>280</x:v>
      </x:c>
      <x:c r="D9" s="32" t="n">
        <x:v>280</x:v>
      </x:c>
      <x:c r="E9" s="32" t="n">
        <x:v>280</x:v>
      </x:c>
      <x:c r="F9" s="32" t="n">
        <x:v>280</x:v>
      </x:c>
      <x:c r="G9" s="32" t="n">
        <x:v>280</x:v>
      </x:c>
      <x:c r="H9" s="32" t="n">
        <x:v>280</x:v>
      </x:c>
      <x:c r="I9" s="32" t="n">
        <x:v>280</x:v>
      </x:c>
      <x:c r="J9" s="32" t="n">
        <x:v>280</x:v>
      </x:c>
      <x:c r="K9" s="32" t="n">
        <x:v>280</x:v>
      </x:c>
      <x:c r="L9" s="32" t="n">
        <x:v>280</x:v>
      </x:c>
      <x:c r="M9" s="32" t="n">
        <x:v>280</x:v>
      </x:c>
      <x:c r="N9" s="32" t="n">
        <x:v>280</x:v>
      </x:c>
      <x:c r="O9" s="32" t="n">
        <x:v>280</x:v>
      </x:c>
      <x:c r="P9" s="32" t="n">
        <x:f>SUM(D9:O9)</x:f>
        <x:v>3360</x:v>
      </x:c>
    </x:row>
    <x:row r="10">
      <x:c r="A10" s="31" t="str">
        <x:v>Expense</x:v>
      </x:c>
      <x:c r="B10" s="31" t="str">
        <x:v>Groceries</x:v>
      </x:c>
      <x:c r="C10" s="32" t="n">
        <x:v>850</x:v>
      </x:c>
      <x:c r="D10" s="32" t="n">
        <x:v>850</x:v>
      </x:c>
      <x:c r="E10" s="32" t="n">
        <x:v>850</x:v>
      </x:c>
      <x:c r="F10" s="32" t="n">
        <x:v>850</x:v>
      </x:c>
      <x:c r="G10" s="32" t="n">
        <x:v>850</x:v>
      </x:c>
      <x:c r="H10" s="32" t="n">
        <x:v>850</x:v>
      </x:c>
      <x:c r="I10" s="32" t="n">
        <x:v>850</x:v>
      </x:c>
      <x:c r="J10" s="32" t="n">
        <x:v>850</x:v>
      </x:c>
      <x:c r="K10" s="32" t="n">
        <x:v>850</x:v>
      </x:c>
      <x:c r="L10" s="32" t="n">
        <x:v>850</x:v>
      </x:c>
      <x:c r="M10" s="32" t="n">
        <x:v>850</x:v>
      </x:c>
      <x:c r="N10" s="32" t="n">
        <x:v>850</x:v>
      </x:c>
      <x:c r="O10" s="32" t="n">
        <x:v>850</x:v>
      </x:c>
      <x:c r="P10" s="32" t="n">
        <x:f>SUM(D10:O10)</x:f>
        <x:v>10200</x:v>
      </x:c>
    </x:row>
    <x:row r="11">
      <x:c r="A11" s="31" t="str">
        <x:v>Expense</x:v>
      </x:c>
      <x:c r="B11" s="31" t="str">
        <x:v>Transportation</x:v>
      </x:c>
      <x:c r="C11" s="32" t="n">
        <x:v>450</x:v>
      </x:c>
      <x:c r="D11" s="32" t="n">
        <x:v>450</x:v>
      </x:c>
      <x:c r="E11" s="32" t="n">
        <x:v>450</x:v>
      </x:c>
      <x:c r="F11" s="32" t="n">
        <x:v>450</x:v>
      </x:c>
      <x:c r="G11" s="32" t="n">
        <x:v>450</x:v>
      </x:c>
      <x:c r="H11" s="32" t="n">
        <x:v>450</x:v>
      </x:c>
      <x:c r="I11" s="32" t="n">
        <x:v>450</x:v>
      </x:c>
      <x:c r="J11" s="32" t="n">
        <x:v>450</x:v>
      </x:c>
      <x:c r="K11" s="32" t="n">
        <x:v>450</x:v>
      </x:c>
      <x:c r="L11" s="32" t="n">
        <x:v>450</x:v>
      </x:c>
      <x:c r="M11" s="32" t="n">
        <x:v>450</x:v>
      </x:c>
      <x:c r="N11" s="32" t="n">
        <x:v>450</x:v>
      </x:c>
      <x:c r="O11" s="32" t="n">
        <x:v>450</x:v>
      </x:c>
      <x:c r="P11" s="32" t="n">
        <x:f>SUM(D11:O11)</x:f>
        <x:v>5400</x:v>
      </x:c>
    </x:row>
    <x:row r="12">
      <x:c r="A12" s="31" t="str">
        <x:v>Expense</x:v>
      </x:c>
      <x:c r="B12" s="31" t="str">
        <x:v>Insurance</x:v>
      </x:c>
      <x:c r="C12" s="32" t="n">
        <x:v>300</x:v>
      </x:c>
      <x:c r="D12" s="32" t="n">
        <x:v>300</x:v>
      </x:c>
      <x:c r="E12" s="32" t="n">
        <x:v>300</x:v>
      </x:c>
      <x:c r="F12" s="32" t="n">
        <x:v>300</x:v>
      </x:c>
      <x:c r="G12" s="32" t="n">
        <x:v>300</x:v>
      </x:c>
      <x:c r="H12" s="32" t="n">
        <x:v>300</x:v>
      </x:c>
      <x:c r="I12" s="32" t="n">
        <x:v>300</x:v>
      </x:c>
      <x:c r="J12" s="32" t="n">
        <x:v>300</x:v>
      </x:c>
      <x:c r="K12" s="32" t="n">
        <x:v>300</x:v>
      </x:c>
      <x:c r="L12" s="32" t="n">
        <x:v>300</x:v>
      </x:c>
      <x:c r="M12" s="32" t="n">
        <x:v>300</x:v>
      </x:c>
      <x:c r="N12" s="32" t="n">
        <x:v>300</x:v>
      </x:c>
      <x:c r="O12" s="32" t="n">
        <x:v>300</x:v>
      </x:c>
      <x:c r="P12" s="32" t="n">
        <x:f>SUM(D12:O12)</x:f>
        <x:v>3600</x:v>
      </x:c>
    </x:row>
    <x:row r="13">
      <x:c r="A13" s="31" t="str">
        <x:v>Expense</x:v>
      </x:c>
      <x:c r="B13" s="31" t="str">
        <x:v>Debt Payments</x:v>
      </x:c>
      <x:c r="C13" s="32" t="n">
        <x:v>400</x:v>
      </x:c>
      <x:c r="D13" s="32" t="n">
        <x:v>400</x:v>
      </x:c>
      <x:c r="E13" s="32" t="n">
        <x:v>400</x:v>
      </x:c>
      <x:c r="F13" s="32" t="n">
        <x:v>400</x:v>
      </x:c>
      <x:c r="G13" s="32" t="n">
        <x:v>400</x:v>
      </x:c>
      <x:c r="H13" s="32" t="n">
        <x:v>400</x:v>
      </x:c>
      <x:c r="I13" s="32" t="n">
        <x:v>400</x:v>
      </x:c>
      <x:c r="J13" s="32" t="n">
        <x:v>400</x:v>
      </x:c>
      <x:c r="K13" s="32" t="n">
        <x:v>400</x:v>
      </x:c>
      <x:c r="L13" s="32" t="n">
        <x:v>400</x:v>
      </x:c>
      <x:c r="M13" s="32" t="n">
        <x:v>400</x:v>
      </x:c>
      <x:c r="N13" s="32" t="n">
        <x:v>400</x:v>
      </x:c>
      <x:c r="O13" s="32" t="n">
        <x:v>400</x:v>
      </x:c>
      <x:c r="P13" s="32" t="n">
        <x:f>SUM(D13:O13)</x:f>
        <x:v>4800</x:v>
      </x:c>
    </x:row>
    <x:row r="14">
      <x:c r="A14" s="31" t="str">
        <x:v>Expense</x:v>
      </x:c>
      <x:c r="B14" s="31" t="str">
        <x:v>Subscriptions</x:v>
      </x:c>
      <x:c r="C14" s="32" t="n">
        <x:v>120</x:v>
      </x:c>
      <x:c r="D14" s="32" t="n">
        <x:v>120</x:v>
      </x:c>
      <x:c r="E14" s="32" t="n">
        <x:v>120</x:v>
      </x:c>
      <x:c r="F14" s="32" t="n">
        <x:v>120</x:v>
      </x:c>
      <x:c r="G14" s="32" t="n">
        <x:v>120</x:v>
      </x:c>
      <x:c r="H14" s="32" t="n">
        <x:v>120</x:v>
      </x:c>
      <x:c r="I14" s="32" t="n">
        <x:v>120</x:v>
      </x:c>
      <x:c r="J14" s="32" t="n">
        <x:v>120</x:v>
      </x:c>
      <x:c r="K14" s="32" t="n">
        <x:v>120</x:v>
      </x:c>
      <x:c r="L14" s="32" t="n">
        <x:v>120</x:v>
      </x:c>
      <x:c r="M14" s="32" t="n">
        <x:v>120</x:v>
      </x:c>
      <x:c r="N14" s="32" t="n">
        <x:v>120</x:v>
      </x:c>
      <x:c r="O14" s="32" t="n">
        <x:v>120</x:v>
      </x:c>
      <x:c r="P14" s="32" t="n">
        <x:f>SUM(D14:O14)</x:f>
        <x:v>1440</x:v>
      </x:c>
    </x:row>
    <x:row r="15">
      <x:c r="A15" s="31" t="str">
        <x:v>Expense</x:v>
      </x:c>
      <x:c r="B15" s="31" t="str">
        <x:v>Health</x:v>
      </x:c>
      <x:c r="C15" s="32" t="n">
        <x:v>250</x:v>
      </x:c>
      <x:c r="D15" s="32" t="n">
        <x:v>250</x:v>
      </x:c>
      <x:c r="E15" s="32" t="n">
        <x:v>250</x:v>
      </x:c>
      <x:c r="F15" s="32" t="n">
        <x:v>250</x:v>
      </x:c>
      <x:c r="G15" s="32" t="n">
        <x:v>250</x:v>
      </x:c>
      <x:c r="H15" s="32" t="n">
        <x:v>250</x:v>
      </x:c>
      <x:c r="I15" s="32" t="n">
        <x:v>250</x:v>
      </x:c>
      <x:c r="J15" s="32" t="n">
        <x:v>250</x:v>
      </x:c>
      <x:c r="K15" s="32" t="n">
        <x:v>250</x:v>
      </x:c>
      <x:c r="L15" s="32" t="n">
        <x:v>250</x:v>
      </x:c>
      <x:c r="M15" s="32" t="n">
        <x:v>250</x:v>
      </x:c>
      <x:c r="N15" s="32" t="n">
        <x:v>250</x:v>
      </x:c>
      <x:c r="O15" s="32" t="n">
        <x:v>250</x:v>
      </x:c>
      <x:c r="P15" s="32" t="n">
        <x:f>SUM(D15:O15)</x:f>
        <x:v>3000</x:v>
      </x:c>
    </x:row>
    <x:row r="16">
      <x:c r="A16" s="31" t="str">
        <x:v>Expense</x:v>
      </x:c>
      <x:c r="B16" s="31" t="str">
        <x:v>Dining Out</x:v>
      </x:c>
      <x:c r="C16" s="32" t="n">
        <x:v>350</x:v>
      </x:c>
      <x:c r="D16" s="32" t="n">
        <x:v>350</x:v>
      </x:c>
      <x:c r="E16" s="32" t="n">
        <x:v>350</x:v>
      </x:c>
      <x:c r="F16" s="32" t="n">
        <x:v>350</x:v>
      </x:c>
      <x:c r="G16" s="32" t="n">
        <x:v>350</x:v>
      </x:c>
      <x:c r="H16" s="32" t="n">
        <x:v>350</x:v>
      </x:c>
      <x:c r="I16" s="32" t="n">
        <x:v>350</x:v>
      </x:c>
      <x:c r="J16" s="32" t="n">
        <x:v>350</x:v>
      </x:c>
      <x:c r="K16" s="32" t="n">
        <x:v>350</x:v>
      </x:c>
      <x:c r="L16" s="32" t="n">
        <x:v>350</x:v>
      </x:c>
      <x:c r="M16" s="32" t="n">
        <x:v>350</x:v>
      </x:c>
      <x:c r="N16" s="32" t="n">
        <x:v>350</x:v>
      </x:c>
      <x:c r="O16" s="32" t="n">
        <x:v>350</x:v>
      </x:c>
      <x:c r="P16" s="32" t="n">
        <x:f>SUM(D16:O16)</x:f>
        <x:v>4200</x:v>
      </x:c>
    </x:row>
    <x:row r="17">
      <x:c r="A17" s="31" t="str">
        <x:v>Expense</x:v>
      </x:c>
      <x:c r="B17" s="31" t="str">
        <x:v>Entertainment</x:v>
      </x:c>
      <x:c r="C17" s="32" t="n">
        <x:v>250</x:v>
      </x:c>
      <x:c r="D17" s="32" t="n">
        <x:v>250</x:v>
      </x:c>
      <x:c r="E17" s="32" t="n">
        <x:v>250</x:v>
      </x:c>
      <x:c r="F17" s="32" t="n">
        <x:v>250</x:v>
      </x:c>
      <x:c r="G17" s="32" t="n">
        <x:v>250</x:v>
      </x:c>
      <x:c r="H17" s="32" t="n">
        <x:v>250</x:v>
      </x:c>
      <x:c r="I17" s="32" t="n">
        <x:v>250</x:v>
      </x:c>
      <x:c r="J17" s="32" t="n">
        <x:v>250</x:v>
      </x:c>
      <x:c r="K17" s="32" t="n">
        <x:v>250</x:v>
      </x:c>
      <x:c r="L17" s="32" t="n">
        <x:v>250</x:v>
      </x:c>
      <x:c r="M17" s="32" t="n">
        <x:v>250</x:v>
      </x:c>
      <x:c r="N17" s="32" t="n">
        <x:v>250</x:v>
      </x:c>
      <x:c r="O17" s="32" t="n">
        <x:v>250</x:v>
      </x:c>
      <x:c r="P17" s="32" t="n">
        <x:f>SUM(D17:O17)</x:f>
        <x:v>3000</x:v>
      </x:c>
    </x:row>
    <x:row r="18">
      <x:c r="A18" s="31" t="str">
        <x:v>Expense</x:v>
      </x:c>
      <x:c r="B18" s="31" t="str">
        <x:v>Savings Transfer</x:v>
      </x:c>
      <x:c r="C18" s="32" t="n">
        <x:v>1000</x:v>
      </x:c>
      <x:c r="D18" s="32" t="n">
        <x:v>1000</x:v>
      </x:c>
      <x:c r="E18" s="32" t="n">
        <x:v>1000</x:v>
      </x:c>
      <x:c r="F18" s="32" t="n">
        <x:v>1000</x:v>
      </x:c>
      <x:c r="G18" s="32" t="n">
        <x:v>1000</x:v>
      </x:c>
      <x:c r="H18" s="32" t="n">
        <x:v>1000</x:v>
      </x:c>
      <x:c r="I18" s="32" t="n">
        <x:v>1000</x:v>
      </x:c>
      <x:c r="J18" s="32" t="n">
        <x:v>1000</x:v>
      </x:c>
      <x:c r="K18" s="32" t="n">
        <x:v>1000</x:v>
      </x:c>
      <x:c r="L18" s="32" t="n">
        <x:v>1000</x:v>
      </x:c>
      <x:c r="M18" s="32" t="n">
        <x:v>1000</x:v>
      </x:c>
      <x:c r="N18" s="32" t="n">
        <x:v>1000</x:v>
      </x:c>
      <x:c r="O18" s="32" t="n">
        <x:v>1000</x:v>
      </x:c>
      <x:c r="P18" s="32" t="n">
        <x:f>SUM(D18:O18)</x:f>
        <x:v>12000</x:v>
      </x:c>
    </x:row>
    <x:row r="19">
      <x:c r="A19" s="31" t="str">
        <x:v>Expense</x:v>
      </x:c>
      <x:c r="B19" s="31" t="str">
        <x:v>Miscellaneous</x:v>
      </x:c>
      <x:c r="C19" s="32" t="n">
        <x:v>300</x:v>
      </x:c>
      <x:c r="D19" s="32" t="n">
        <x:v>300</x:v>
      </x:c>
      <x:c r="E19" s="32" t="n">
        <x:v>300</x:v>
      </x:c>
      <x:c r="F19" s="32" t="n">
        <x:v>300</x:v>
      </x:c>
      <x:c r="G19" s="32" t="n">
        <x:v>300</x:v>
      </x:c>
      <x:c r="H19" s="32" t="n">
        <x:v>300</x:v>
      </x:c>
      <x:c r="I19" s="32" t="n">
        <x:v>300</x:v>
      </x:c>
      <x:c r="J19" s="32" t="n">
        <x:v>300</x:v>
      </x:c>
      <x:c r="K19" s="32" t="n">
        <x:v>300</x:v>
      </x:c>
      <x:c r="L19" s="32" t="n">
        <x:v>300</x:v>
      </x:c>
      <x:c r="M19" s="32" t="n">
        <x:v>300</x:v>
      </x:c>
      <x:c r="N19" s="32" t="n">
        <x:v>300</x:v>
      </x:c>
      <x:c r="O19" s="32" t="n">
        <x:v>300</x:v>
      </x:c>
      <x:c r="P19" s="32" t="n">
        <x:f>SUM(D19:O19)</x:f>
        <x:v>3600</x:v>
      </x:c>
    </x:row>
    <x:row r="22">
      <x:c r="A22" s="40" t="str">
        <x:v>Tip: add new categories by inserting rows above this note, then extend dashboard category formulas if you need them included in charts.</x:v>
      </x:c>
      <x:c r="B22" s="40" t="str">
        <x:v>Tip: add new categories by inserting rows above this note, then extend dashboard category formulas if you need them included in charts.</x:v>
      </x:c>
      <x:c r="C22" s="40" t="str">
        <x:v>Tip: add new categories by inserting rows above this note, then extend dashboard category formulas if you need them included in charts.</x:v>
      </x:c>
      <x:c r="D22" s="40" t="str">
        <x:v>Tip: add new categories by inserting rows above this note, then extend dashboard category formulas if you need them included in charts.</x:v>
      </x:c>
      <x:c r="E22" s="40" t="str">
        <x:v>Tip: add new categories by inserting rows above this note, then extend dashboard category formulas if you need them included in charts.</x:v>
      </x:c>
      <x:c r="F22" s="40" t="str">
        <x:v>Tip: add new categories by inserting rows above this note, then extend dashboard category formulas if you need them included in charts.</x:v>
      </x:c>
      <x:c r="G22" s="40" t="str">
        <x:v>Tip: add new categories by inserting rows above this note, then extend dashboard category formulas if you need them included in charts.</x:v>
      </x:c>
      <x:c r="H22" s="40" t="str">
        <x:v>Tip: add new categories by inserting rows above this note, then extend dashboard category formulas if you need them included in charts.</x:v>
      </x:c>
      <x:c r="I22" s="40" t="str">
        <x:v>Tip: add new categories by inserting rows above this note, then extend dashboard category formulas if you need them included in charts.</x:v>
      </x:c>
      <x:c r="J22" s="40" t="str">
        <x:v>Tip: add new categories by inserting rows above this note, then extend dashboard category formulas if you need them included in charts.</x:v>
      </x:c>
      <x:c r="K22" s="40" t="str">
        <x:v>Tip: add new categories by inserting rows above this note, then extend dashboard category formulas if you need them included in charts.</x:v>
      </x:c>
      <x:c r="L22" s="40" t="str">
        <x:v>Tip: add new categories by inserting rows above this note, then extend dashboard category formulas if you need them included in charts.</x:v>
      </x:c>
      <x:c r="M22" s="40" t="str">
        <x:v>Tip: add new categories by inserting rows above this note, then extend dashboard category formulas if you need them included in charts.</x:v>
      </x:c>
      <x:c r="N22" s="40" t="str">
        <x:v>Tip: add new categories by inserting rows above this note, then extend dashboard category formulas if you need them included in charts.</x:v>
      </x:c>
      <x:c r="O22" s="40" t="str">
        <x:v>Tip: add new categories by inserting rows above this note, then extend dashboard category formulas if you need them included in charts.</x:v>
      </x:c>
      <x:c r="P22" s="40" t="str">
        <x:v>Tip: add new categories by inserting rows above this note, then extend dashboard category formulas if you need them included in charts.</x:v>
      </x:c>
    </x:row>
  </x:sheetData>
  <x:mergeCells>
    <x:mergeCell ref="A1:P1"/>
    <x:mergeCell ref="A2:P2"/>
    <x:mergeCell ref="A22:P22"/>
  </x:mergeCells>
  <x:dataValidations count="1">
    <x:dataValidation type="list" sqref="A5:A19">
      <x:formula1>"Income,Expense"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5cd303bc7342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January 2026 Transactions</x:v>
      </x:c>
      <x:c r="B1" s="4" t="str">
        <x:v>January 2026 Transactions</x:v>
      </x:c>
      <x:c r="C1" s="4" t="str">
        <x:v>January 2026 Transactions</x:v>
      </x:c>
      <x:c r="D1" s="4" t="str">
        <x:v>January 2026 Transactions</x:v>
      </x:c>
      <x:c r="E1" s="4" t="str">
        <x:v>January 2026 Transactions</x:v>
      </x:c>
      <x:c r="F1" s="4" t="str">
        <x:v>January 2026 Transactions</x:v>
      </x:c>
      <x:c r="G1" s="4" t="str">
        <x:v>January 2026 Transactions</x:v>
      </x:c>
      <x:c r="H1" s="4" t="str">
        <x:v>January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SUMIFS(Categories!$D$5:$D$19,Categories!$A$5:$A$19,"Income")</x:f>
        <x:v>7000</x:v>
      </x:c>
      <x:c r="B6" s="32" t="n">
        <x:f>SUMIFS($E$11:$E$109,$C$11:$C$109,"Income")</x:f>
        <x:v>6500</x:v>
      </x:c>
      <x:c r="C6" s="32" t="n">
        <x:f>SUMIFS(Categories!$D$5:$D$19,Categories!$A$5:$A$19,"Expense")</x:f>
        <x:v>6350</x:v>
      </x:c>
      <x:c r="D6" s="32" t="n">
        <x:f>SUMIFS($E$11:$E$109,$C$11:$C$109,"Expense")</x:f>
        <x:v>2270</x:v>
      </x:c>
      <x:c r="E6" s="32" t="n">
        <x:f>B6-D6</x:f>
        <x:v>4230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5</x:v>
      </x:c>
      <x:c r="B8" s="31" t="n">
        <x:f>COUNTIFS(F11:F109,"Yes",A11:A109,"&lt;&gt;")</x:f>
        <x:v>4</x:v>
      </x:c>
      <x:c r="C8" s="31" t="n">
        <x:f>COUNTIFS(F11:F109,"No",A11:A109,"&lt;&gt;")</x:f>
        <x:v>1</x:v>
      </x:c>
      <x:c r="D8" s="32" t="n">
        <x:f>IFERROR(MAXIFS(E11:E109,C11:C109,"Expense"),0)</x:f>
        <x:v>1800</x:v>
      </x:c>
      <x:c r="E8" s="32" t="n">
        <x:f>C6-D6</x:f>
        <x:v>4080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 t="n">
        <x:v>46023</x:v>
      </x:c>
      <x:c r="B11" s="31" t="str">
        <x:v>Paycheck</x:v>
      </x:c>
      <x:c r="C11" s="31" t="str">
        <x:v>Income</x:v>
      </x:c>
      <x:c r="D11" s="31" t="str">
        <x:v>Salary</x:v>
      </x:c>
      <x:c r="E11" s="32" t="n">
        <x:v>6500</x:v>
      </x:c>
      <x:c r="F11" s="31" t="str">
        <x:v>Yes</x:v>
      </x:c>
      <x:c r="G11" s="31" t="str">
        <x:v>Example row; replace with your real data</x:v>
      </x:c>
      <x:c r="H11" s="31" t="str">
        <x:v>Jan</x:v>
      </x:c>
    </x:row>
    <x:row r="12">
      <x:c r="A12" s="45" t="n">
        <x:v>46024</x:v>
      </x:c>
      <x:c r="B12" s="31" t="str">
        <x:v>Rent</x:v>
      </x:c>
      <x:c r="C12" s="31" t="str">
        <x:v>Expense</x:v>
      </x:c>
      <x:c r="D12" s="31" t="str">
        <x:v>Housing</x:v>
      </x:c>
      <x:c r="E12" s="32" t="n">
        <x:v>1800</x:v>
      </x:c>
      <x:c r="F12" s="31" t="str">
        <x:v>Yes</x:v>
      </x:c>
      <x:c r="G12" s="31" t="str">
        <x:v>Example row</x:v>
      </x:c>
      <x:c r="H12" s="31" t="str">
        <x:v>Jan</x:v>
      </x:c>
    </x:row>
    <x:row r="13">
      <x:c r="A13" s="45" t="n">
        <x:v>46029</x:v>
      </x:c>
      <x:c r="B13" s="31" t="str">
        <x:v>Groceries</x:v>
      </x:c>
      <x:c r="C13" s="31" t="str">
        <x:v>Expense</x:v>
      </x:c>
      <x:c r="D13" s="31" t="str">
        <x:v>Groceries</x:v>
      </x:c>
      <x:c r="E13" s="32" t="n">
        <x:v>210</x:v>
      </x:c>
      <x:c r="F13" s="31" t="str">
        <x:v>Yes</x:v>
      </x:c>
      <x:c r="G13" s="31" t="str">
        <x:v>Example row</x:v>
      </x:c>
      <x:c r="H13" s="31" t="str">
        <x:v>Jan</x:v>
      </x:c>
    </x:row>
    <x:row r="14">
      <x:c r="A14" s="45" t="n">
        <x:v>46034</x:v>
      </x:c>
      <x:c r="B14" s="31" t="str">
        <x:v>Utilities</x:v>
      </x:c>
      <x:c r="C14" s="31" t="str">
        <x:v>Expense</x:v>
      </x:c>
      <x:c r="D14" s="31" t="str">
        <x:v>Utilities</x:v>
      </x:c>
      <x:c r="E14" s="32" t="n">
        <x:v>175</x:v>
      </x:c>
      <x:c r="F14" s="31" t="str">
        <x:v>No</x:v>
      </x:c>
      <x:c r="G14" s="31" t="str">
        <x:v>Example row</x:v>
      </x:c>
      <x:c r="H14" s="31" t="str">
        <x:v>Jan</x:v>
      </x:c>
    </x:row>
    <x:row r="15">
      <x:c r="A15" s="45" t="n">
        <x:v>46042</x:v>
      </x:c>
      <x:c r="B15" s="31" t="str">
        <x:v>Dinner</x:v>
      </x:c>
      <x:c r="C15" s="31" t="str">
        <x:v>Expense</x:v>
      </x:c>
      <x:c r="D15" s="31" t="str">
        <x:v>Dining Out</x:v>
      </x:c>
      <x:c r="E15" s="32" t="n">
        <x:v>85</x:v>
      </x:c>
      <x:c r="F15" s="31" t="str">
        <x:v>Yes</x:v>
      </x:c>
      <x:c r="G15" s="31" t="str">
        <x:v>Example row</x:v>
      </x:c>
      <x:c r="H15" s="31" t="str">
        <x:v>Jan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Jan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Jan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Jan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Jan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Jan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Jan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Jan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Jan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Jan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Jan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Jan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Jan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Jan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Jan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Jan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Jan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Jan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Jan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Jan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Jan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Jan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Jan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Jan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Jan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Jan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Jan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Jan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Jan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Jan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Jan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Jan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Jan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Jan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Jan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Jan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Jan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Jan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Jan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Jan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Jan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Jan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Jan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Jan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Jan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Jan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Jan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Jan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Jan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Jan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Jan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Jan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Jan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Jan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Jan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Jan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Jan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Jan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Jan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Jan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Jan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Jan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Jan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Jan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Jan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Jan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Jan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Jan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Jan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Jan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Jan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Jan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Jan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Jan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Jan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Jan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Jan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Jan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Jan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Jan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Jan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Jan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Jan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Jan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Jan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Jan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Jan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Jan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Jan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Jan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Jan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Jan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Jan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Jan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Jan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117d4ec77d43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February 2026 Transactions</x:v>
      </x:c>
      <x:c r="B1" s="4" t="str">
        <x:v>February 2026 Transactions</x:v>
      </x:c>
      <x:c r="C1" s="4" t="str">
        <x:v>February 2026 Transactions</x:v>
      </x:c>
      <x:c r="D1" s="4" t="str">
        <x:v>February 2026 Transactions</x:v>
      </x:c>
      <x:c r="E1" s="4" t="str">
        <x:v>February 2026 Transactions</x:v>
      </x:c>
      <x:c r="F1" s="4" t="str">
        <x:v>February 2026 Transactions</x:v>
      </x:c>
      <x:c r="G1" s="4" t="str">
        <x:v>February 2026 Transactions</x:v>
      </x:c>
      <x:c r="H1" s="4" t="str">
        <x:v>February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SUMIFS(Categories!$E$5:$E$19,Categories!$A$5:$A$19,"Income")</x:f>
        <x:v>7000</x:v>
      </x:c>
      <x:c r="B6" s="32" t="n">
        <x:f>SUMIFS($E$11:$E$109,$C$11:$C$109,"Income")</x:f>
        <x:v>0</x:v>
      </x:c>
      <x:c r="C6" s="32" t="n">
        <x:f>SUMIFS(Categories!$E$5:$E$19,Categories!$A$5:$A$19,"Expense")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Feb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Feb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Feb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Feb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Feb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Feb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Feb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Feb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Feb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Feb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Feb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Feb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Feb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Feb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Feb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Feb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Feb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Feb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Feb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Feb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Feb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Feb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Feb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Feb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Feb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Feb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Feb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Feb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Feb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Feb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Feb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Feb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Feb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Feb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Feb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Feb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Feb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Feb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Feb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Feb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Feb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Feb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Feb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Feb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Feb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Feb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Feb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Feb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Feb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Feb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Feb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Feb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Feb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Feb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Feb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Feb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Feb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Feb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Feb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Feb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Feb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Feb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Feb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Feb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Feb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Feb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Feb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Feb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Feb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Feb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Feb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Feb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Feb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Feb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Feb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Feb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Feb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Feb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Feb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Feb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Feb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Feb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Feb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Feb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Feb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Feb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Feb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Feb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Feb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Feb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Feb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Feb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Feb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Feb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Feb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Feb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Feb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Feb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Feb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1283fd4b5441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March 2026 Transactions</x:v>
      </x:c>
      <x:c r="B1" s="4" t="str">
        <x:v>March 2026 Transactions</x:v>
      </x:c>
      <x:c r="C1" s="4" t="str">
        <x:v>March 2026 Transactions</x:v>
      </x:c>
      <x:c r="D1" s="4" t="str">
        <x:v>March 2026 Transactions</x:v>
      </x:c>
      <x:c r="E1" s="4" t="str">
        <x:v>March 2026 Transactions</x:v>
      </x:c>
      <x:c r="F1" s="4" t="str">
        <x:v>March 2026 Transactions</x:v>
      </x:c>
      <x:c r="G1" s="4" t="str">
        <x:v>March 2026 Transactions</x:v>
      </x:c>
      <x:c r="H1" s="4" t="str">
        <x:v>March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SUMIFS(Categories!$F$5:$F$19,Categories!$A$5:$A$19,"Income")</x:f>
        <x:v>7000</x:v>
      </x:c>
      <x:c r="B6" s="32" t="n">
        <x:f>SUMIFS($E$11:$E$109,$C$11:$C$109,"Income")</x:f>
        <x:v>0</x:v>
      </x:c>
      <x:c r="C6" s="32" t="n">
        <x:f>SUMIFS(Categories!$F$5:$F$19,Categories!$A$5:$A$19,"Expense")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Mar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Mar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Mar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Mar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Mar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Mar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Mar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Mar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Mar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Mar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Mar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Mar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Mar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Mar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Mar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Mar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Mar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Mar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Mar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Mar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Mar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Mar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Mar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Mar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Mar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Mar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Mar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Mar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Mar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Mar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Mar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Mar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Mar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Mar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Mar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Mar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Mar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Mar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Mar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Mar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Mar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Mar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Mar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Mar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Mar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Mar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Mar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Mar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Mar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Mar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Mar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Mar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Mar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Mar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Mar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Mar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Mar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Mar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Mar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Mar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Mar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Mar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Mar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Mar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Mar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Mar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Mar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Mar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Mar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Mar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Mar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Mar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Mar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Mar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Mar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Mar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Mar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Mar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Mar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Mar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Mar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Mar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Mar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Mar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Mar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Mar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Mar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Mar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Mar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Mar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Mar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Mar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Mar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Mar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Mar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Mar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Mar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Mar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Mar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3f33c8f0d04e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April 2026 Transactions</x:v>
      </x:c>
      <x:c r="B1" s="4" t="str">
        <x:v>April 2026 Transactions</x:v>
      </x:c>
      <x:c r="C1" s="4" t="str">
        <x:v>April 2026 Transactions</x:v>
      </x:c>
      <x:c r="D1" s="4" t="str">
        <x:v>April 2026 Transactions</x:v>
      </x:c>
      <x:c r="E1" s="4" t="str">
        <x:v>April 2026 Transactions</x:v>
      </x:c>
      <x:c r="F1" s="4" t="str">
        <x:v>April 2026 Transactions</x:v>
      </x:c>
      <x:c r="G1" s="4" t="str">
        <x:v>April 2026 Transactions</x:v>
      </x:c>
      <x:c r="H1" s="4" t="str">
        <x:v>April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SUMIFS(Categories!$G$5:$G$19,Categories!$A$5:$A$19,"Income")</x:f>
        <x:v>7000</x:v>
      </x:c>
      <x:c r="B6" s="32" t="n">
        <x:f>SUMIFS($E$11:$E$109,$C$11:$C$109,"Income")</x:f>
        <x:v>0</x:v>
      </x:c>
      <x:c r="C6" s="32" t="n">
        <x:f>SUMIFS(Categories!$G$5:$G$19,Categories!$A$5:$A$19,"Expense")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Apr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Apr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Apr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Apr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Apr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Apr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Apr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Apr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Apr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Apr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Apr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Apr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Apr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Apr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Apr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Apr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Apr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Apr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Apr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Apr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Apr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Apr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Apr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Apr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Apr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Apr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Apr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Apr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Apr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Apr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Apr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Apr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Apr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Apr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Apr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Apr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Apr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Apr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Apr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Apr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Apr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Apr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Apr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Apr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Apr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Apr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Apr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Apr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Apr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Apr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Apr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Apr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Apr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Apr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Apr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Apr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Apr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Apr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Apr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Apr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Apr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Apr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Apr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Apr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Apr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Apr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Apr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Apr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Apr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Apr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Apr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Apr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Apr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Apr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Apr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Apr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Apr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Apr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Apr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Apr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Apr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Apr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Apr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Apr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Apr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Apr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Apr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Apr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Apr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Apr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Apr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Apr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Apr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Apr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Apr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Apr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Apr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Apr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Apr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d1dd21a1048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May 2026 Transactions</x:v>
      </x:c>
      <x:c r="B1" s="4" t="str">
        <x:v>May 2026 Transactions</x:v>
      </x:c>
      <x:c r="C1" s="4" t="str">
        <x:v>May 2026 Transactions</x:v>
      </x:c>
      <x:c r="D1" s="4" t="str">
        <x:v>May 2026 Transactions</x:v>
      </x:c>
      <x:c r="E1" s="4" t="str">
        <x:v>May 2026 Transactions</x:v>
      </x:c>
      <x:c r="F1" s="4" t="str">
        <x:v>May 2026 Transactions</x:v>
      </x:c>
      <x:c r="G1" s="4" t="str">
        <x:v>May 2026 Transactions</x:v>
      </x:c>
      <x:c r="H1" s="4" t="str">
        <x:v>May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SUMIFS(Categories!$H$5:$H$19,Categories!$A$5:$A$19,"Income")</x:f>
        <x:v>7000</x:v>
      </x:c>
      <x:c r="B6" s="32" t="n">
        <x:f>SUMIFS($E$11:$E$109,$C$11:$C$109,"Income")</x:f>
        <x:v>0</x:v>
      </x:c>
      <x:c r="C6" s="32" t="n">
        <x:f>SUMIFS(Categories!$H$5:$H$19,Categories!$A$5:$A$19,"Expense")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May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May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May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May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May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May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May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May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May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May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May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May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May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May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May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May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May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May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May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May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May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May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May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May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May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May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May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May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May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May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May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May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May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May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May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May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May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May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May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May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May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May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May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May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May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May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May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May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May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May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May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May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May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May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May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May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May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May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May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May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May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May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May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May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May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May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May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May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May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May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May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May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May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May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May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May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May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May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May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May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May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May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May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May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May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May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May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May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May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May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May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May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May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May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May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May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May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May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May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ac336457f547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June 2026 Transactions</x:v>
      </x:c>
      <x:c r="B1" s="4" t="str">
        <x:v>June 2026 Transactions</x:v>
      </x:c>
      <x:c r="C1" s="4" t="str">
        <x:v>June 2026 Transactions</x:v>
      </x:c>
      <x:c r="D1" s="4" t="str">
        <x:v>June 2026 Transactions</x:v>
      </x:c>
      <x:c r="E1" s="4" t="str">
        <x:v>June 2026 Transactions</x:v>
      </x:c>
      <x:c r="F1" s="4" t="str">
        <x:v>June 2026 Transactions</x:v>
      </x:c>
      <x:c r="G1" s="4" t="str">
        <x:v>June 2026 Transactions</x:v>
      </x:c>
      <x:c r="H1" s="4" t="str">
        <x:v>June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SUMIFS(Categories!$I$5:$I$19,Categories!$A$5:$A$19,"Income")</x:f>
        <x:v>7000</x:v>
      </x:c>
      <x:c r="B6" s="32" t="n">
        <x:f>SUMIFS($E$11:$E$109,$C$11:$C$109,"Income")</x:f>
        <x:v>0</x:v>
      </x:c>
      <x:c r="C6" s="32" t="n">
        <x:f>SUMIFS(Categories!$I$5:$I$19,Categories!$A$5:$A$19,"Expense")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Jun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Jun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Jun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Jun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Jun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Jun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Jun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Jun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Jun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Jun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Jun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Jun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Jun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Jun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Jun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Jun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Jun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Jun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Jun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Jun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Jun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Jun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Jun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Jun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Jun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Jun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Jun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Jun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Jun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Jun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Jun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Jun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Jun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Jun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Jun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Jun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Jun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Jun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Jun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Jun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Jun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Jun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Jun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Jun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Jun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Jun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Jun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Jun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Jun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Jun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Jun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Jun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Jun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Jun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Jun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Jun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Jun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Jun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Jun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Jun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Jun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Jun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Jun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Jun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Jun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Jun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Jun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Jun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Jun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Jun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Jun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Jun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Jun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Jun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Jun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Jun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Jun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Jun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Jun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Jun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Jun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Jun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Jun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Jun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Jun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Jun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Jun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Jun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Jun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Jun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Jun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Jun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Jun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Jun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Jun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Jun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Jun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Jun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Jun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1a15c033be4b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July 2026 Transactions</x:v>
      </x:c>
      <x:c r="B1" s="4" t="str">
        <x:v>July 2026 Transactions</x:v>
      </x:c>
      <x:c r="C1" s="4" t="str">
        <x:v>July 2026 Transactions</x:v>
      </x:c>
      <x:c r="D1" s="4" t="str">
        <x:v>July 2026 Transactions</x:v>
      </x:c>
      <x:c r="E1" s="4" t="str">
        <x:v>July 2026 Transactions</x:v>
      </x:c>
      <x:c r="F1" s="4" t="str">
        <x:v>July 2026 Transactions</x:v>
      </x:c>
      <x:c r="G1" s="4" t="str">
        <x:v>July 2026 Transactions</x:v>
      </x:c>
      <x:c r="H1" s="4" t="str">
        <x:v>July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SUMIFS(Categories!$J$5:$J$19,Categories!$A$5:$A$19,"Income")</x:f>
        <x:v>7000</x:v>
      </x:c>
      <x:c r="B6" s="32" t="n">
        <x:f>SUMIFS($E$11:$E$109,$C$11:$C$109,"Income")</x:f>
        <x:v>0</x:v>
      </x:c>
      <x:c r="C6" s="32" t="n">
        <x:f>SUMIFS(Categories!$J$5:$J$19,Categories!$A$5:$A$19,"Expense")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Jul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Jul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Jul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Jul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Jul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Jul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Jul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Jul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Jul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Jul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Jul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Jul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Jul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Jul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Jul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Jul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Jul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Jul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Jul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Jul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Jul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Jul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Jul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Jul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Jul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Jul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Jul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Jul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Jul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Jul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Jul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Jul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Jul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Jul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Jul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Jul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Jul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Jul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Jul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Jul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Jul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Jul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Jul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Jul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Jul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Jul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Jul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Jul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Jul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Jul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Jul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Jul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Jul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Jul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Jul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Jul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Jul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Jul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Jul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Jul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Jul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Jul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Jul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Jul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Jul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Jul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Jul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Jul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Jul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Jul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Jul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Jul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Jul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Jul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Jul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Jul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Jul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Jul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Jul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Jul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Jul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Jul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Jul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Jul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Jul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Jul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Jul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Jul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Jul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Jul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Jul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Jul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Jul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Jul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Jul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Jul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Jul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Jul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Jul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67eeddaca4c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August 2026 Transactions</x:v>
      </x:c>
      <x:c r="B1" s="4" t="str">
        <x:v>August 2026 Transactions</x:v>
      </x:c>
      <x:c r="C1" s="4" t="str">
        <x:v>August 2026 Transactions</x:v>
      </x:c>
      <x:c r="D1" s="4" t="str">
        <x:v>August 2026 Transactions</x:v>
      </x:c>
      <x:c r="E1" s="4" t="str">
        <x:v>August 2026 Transactions</x:v>
      </x:c>
      <x:c r="F1" s="4" t="str">
        <x:v>August 2026 Transactions</x:v>
      </x:c>
      <x:c r="G1" s="4" t="str">
        <x:v>August 2026 Transactions</x:v>
      </x:c>
      <x:c r="H1" s="4" t="str">
        <x:v>August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SUMIFS(Categories!$K$5:$K$19,Categories!$A$5:$A$19,"Income")</x:f>
        <x:v>7000</x:v>
      </x:c>
      <x:c r="B6" s="32" t="n">
        <x:f>SUMIFS($E$11:$E$109,$C$11:$C$109,"Income")</x:f>
        <x:v>0</x:v>
      </x:c>
      <x:c r="C6" s="32" t="n">
        <x:f>SUMIFS(Categories!$K$5:$K$19,Categories!$A$5:$A$19,"Expense")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Aug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Aug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Aug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Aug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Aug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Aug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Aug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Aug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Aug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Aug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Aug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Aug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Aug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Aug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Aug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Aug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Aug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Aug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Aug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Aug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Aug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Aug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Aug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Aug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Aug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Aug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Aug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Aug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Aug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Aug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Aug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Aug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Aug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Aug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Aug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Aug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Aug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Aug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Aug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Aug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Aug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Aug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Aug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Aug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Aug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Aug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Aug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Aug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Aug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Aug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Aug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Aug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Aug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Aug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Aug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Aug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Aug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Aug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Aug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Aug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Aug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Aug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Aug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Aug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Aug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Aug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Aug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Aug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Aug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Aug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Aug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Aug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Aug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Aug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Aug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Aug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Aug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Aug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Aug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Aug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Aug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Aug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Aug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Aug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Aug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Aug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Aug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Aug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Aug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Aug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Aug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Aug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Aug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Aug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Aug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Aug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Aug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Aug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Aug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aa73088eec4ac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September 2026 Transactions</x:v>
      </x:c>
      <x:c r="B1" s="4" t="str">
        <x:v>September 2026 Transactions</x:v>
      </x:c>
      <x:c r="C1" s="4" t="str">
        <x:v>September 2026 Transactions</x:v>
      </x:c>
      <x:c r="D1" s="4" t="str">
        <x:v>September 2026 Transactions</x:v>
      </x:c>
      <x:c r="E1" s="4" t="str">
        <x:v>September 2026 Transactions</x:v>
      </x:c>
      <x:c r="F1" s="4" t="str">
        <x:v>September 2026 Transactions</x:v>
      </x:c>
      <x:c r="G1" s="4" t="str">
        <x:v>September 2026 Transactions</x:v>
      </x:c>
      <x:c r="H1" s="4" t="str">
        <x:v>September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SUMIFS(Categories!$L$5:$L$19,Categories!$A$5:$A$19,"Income")</x:f>
        <x:v>7000</x:v>
      </x:c>
      <x:c r="B6" s="32" t="n">
        <x:f>SUMIFS($E$11:$E$109,$C$11:$C$109,"Income")</x:f>
        <x:v>0</x:v>
      </x:c>
      <x:c r="C6" s="32" t="n">
        <x:f>SUMIFS(Categories!$L$5:$L$19,Categories!$A$5:$A$19,"Expense")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Sep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Sep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Sep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Sep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Sep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Sep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Sep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Sep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Sep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Sep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Sep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Sep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Sep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Sep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Sep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Sep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Sep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Sep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Sep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Sep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Sep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Sep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Sep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Sep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Sep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Sep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Sep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Sep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Sep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Sep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Sep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Sep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Sep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Sep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Sep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Sep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Sep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Sep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Sep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Sep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Sep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Sep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Sep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Sep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Sep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Sep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Sep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Sep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Sep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Sep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Sep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Sep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Sep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Sep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Sep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Sep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Sep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Sep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Sep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Sep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Sep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Sep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Sep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Sep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Sep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Sep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Sep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Sep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Sep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Sep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Sep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Sep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Sep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Sep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Sep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Sep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Sep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Sep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Sep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Sep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Sep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Sep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Sep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Sep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Sep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Sep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Sep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Sep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Sep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Sep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Sep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Sep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Sep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Sep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Sep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Sep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Sep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Sep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Sep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5f0f2c645142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October 2026 Transactions</x:v>
      </x:c>
      <x:c r="B1" s="4" t="str">
        <x:v>October 2026 Transactions</x:v>
      </x:c>
      <x:c r="C1" s="4" t="str">
        <x:v>October 2026 Transactions</x:v>
      </x:c>
      <x:c r="D1" s="4" t="str">
        <x:v>October 2026 Transactions</x:v>
      </x:c>
      <x:c r="E1" s="4" t="str">
        <x:v>October 2026 Transactions</x:v>
      </x:c>
      <x:c r="F1" s="4" t="str">
        <x:v>October 2026 Transactions</x:v>
      </x:c>
      <x:c r="G1" s="4" t="str">
        <x:v>October 2026 Transactions</x:v>
      </x:c>
      <x:c r="H1" s="4" t="str">
        <x:v>October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SUMIFS(Categories!$M$5:$M$19,Categories!$A$5:$A$19,"Income")</x:f>
        <x:v>7000</x:v>
      </x:c>
      <x:c r="B6" s="32" t="n">
        <x:f>SUMIFS($E$11:$E$109,$C$11:$C$109,"Income")</x:f>
        <x:v>0</x:v>
      </x:c>
      <x:c r="C6" s="32" t="n">
        <x:f>SUMIFS(Categories!$M$5:$M$19,Categories!$A$5:$A$19,"Expense")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Oct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Oct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Oct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Oct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Oct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Oct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Oct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Oct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Oct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Oct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Oct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Oct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Oct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Oct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Oct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Oct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Oct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Oct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Oct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Oct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Oct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Oct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Oct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Oct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Oct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Oct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Oct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Oct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Oct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Oct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Oct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Oct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Oct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Oct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Oct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Oct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Oct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Oct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Oct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Oct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Oct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Oct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Oct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Oct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Oct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Oct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Oct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Oct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Oct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Oct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Oct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Oct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Oct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Oct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Oct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Oct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Oct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Oct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Oct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Oct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Oct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Oct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Oct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Oct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Oct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Oct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Oct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Oct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Oct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Oct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Oct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Oct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Oct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Oct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Oct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Oct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Oct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Oct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Oct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Oct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Oct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Oct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Oct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Oct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Oct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Oct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Oct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Oct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Oct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Oct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Oct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Oct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Oct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Oct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Oct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Oct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Oct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Oct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Oct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08ec48a0464ca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November 2026 Transactions</x:v>
      </x:c>
      <x:c r="B1" s="4" t="str">
        <x:v>November 2026 Transactions</x:v>
      </x:c>
      <x:c r="C1" s="4" t="str">
        <x:v>November 2026 Transactions</x:v>
      </x:c>
      <x:c r="D1" s="4" t="str">
        <x:v>November 2026 Transactions</x:v>
      </x:c>
      <x:c r="E1" s="4" t="str">
        <x:v>November 2026 Transactions</x:v>
      </x:c>
      <x:c r="F1" s="4" t="str">
        <x:v>November 2026 Transactions</x:v>
      </x:c>
      <x:c r="G1" s="4" t="str">
        <x:v>November 2026 Transactions</x:v>
      </x:c>
      <x:c r="H1" s="4" t="str">
        <x:v>November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SUMIFS(Categories!$N$5:$N$19,Categories!$A$5:$A$19,"Income")</x:f>
        <x:v>7000</x:v>
      </x:c>
      <x:c r="B6" s="32" t="n">
        <x:f>SUMIFS($E$11:$E$109,$C$11:$C$109,"Income")</x:f>
        <x:v>0</x:v>
      </x:c>
      <x:c r="C6" s="32" t="n">
        <x:f>SUMIFS(Categories!$N$5:$N$19,Categories!$A$5:$A$19,"Expense")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Nov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Nov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Nov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Nov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Nov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Nov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Nov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Nov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Nov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Nov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Nov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Nov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Nov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Nov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Nov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Nov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Nov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Nov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Nov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Nov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Nov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Nov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Nov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Nov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Nov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Nov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Nov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Nov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Nov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Nov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Nov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Nov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Nov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Nov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Nov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Nov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Nov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Nov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Nov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Nov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Nov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Nov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Nov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Nov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Nov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Nov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Nov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Nov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Nov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Nov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Nov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Nov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Nov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Nov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Nov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Nov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Nov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Nov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Nov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Nov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Nov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Nov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Nov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Nov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Nov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Nov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Nov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Nov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Nov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Nov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Nov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Nov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Nov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Nov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Nov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Nov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Nov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Nov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Nov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Nov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Nov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Nov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Nov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Nov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Nov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Nov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Nov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Nov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Nov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Nov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Nov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Nov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Nov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Nov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Nov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Nov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Nov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Nov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Nov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8e20707572453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7.59000015258789" hidden="0" customWidth="1"/>
    <x:col min="3" max="3" width="12.109999656677246" hidden="0" customWidth="1"/>
    <x:col min="4" max="4" width="21.530000686645508" hidden="0" customWidth="1"/>
    <x:col min="5" max="5" width="16.149999618530273" hidden="0" customWidth="1"/>
    <x:col min="6" max="6" width="9.420000076293945" hidden="0" customWidth="1"/>
    <x:col min="7" max="7" width="27.59000015258789" hidden="0" customWidth="1"/>
    <x:col min="8" max="8" width="10.09000015258789" hidden="0" customWidth="1"/>
    <x:col min="10" max="10" width="18.170000076293945" hidden="0" customWidth="1"/>
    <x:col min="11" max="11" width="15.479999542236328" hidden="0" customWidth="1"/>
  </x:cols>
  <x:sheetData>
    <x:row r="1" ht="25.5" customHeight="1">
      <x:c r="A1" s="4" t="str">
        <x:v>December 2026 Transactions</x:v>
      </x:c>
      <x:c r="B1" s="4" t="str">
        <x:v>December 2026 Transactions</x:v>
      </x:c>
      <x:c r="C1" s="4" t="str">
        <x:v>December 2026 Transactions</x:v>
      </x:c>
      <x:c r="D1" s="4" t="str">
        <x:v>December 2026 Transactions</x:v>
      </x:c>
      <x:c r="E1" s="4" t="str">
        <x:v>December 2026 Transactions</x:v>
      </x:c>
      <x:c r="F1" s="4" t="str">
        <x:v>December 2026 Transactions</x:v>
      </x:c>
      <x:c r="G1" s="4" t="str">
        <x:v>December 2026 Transactions</x:v>
      </x:c>
      <x:c r="H1" s="4" t="str">
        <x:v>December 2026 Transactions</x:v>
      </x:c>
    </x:row>
    <x:row r="2">
      <x:c r="A2" s="7" t="str">
        <x:v>Enter each income or expense once. Dashboard and summary tabs calculate from this table.</x:v>
      </x:c>
      <x:c r="B2" s="7" t="str">
        <x:v>Enter each income or expense once. Dashboard and summary tabs calculate from this table.</x:v>
      </x:c>
      <x:c r="C2" s="7" t="str">
        <x:v>Enter each income or expense once. Dashboard and summary tabs calculate from this table.</x:v>
      </x:c>
      <x:c r="D2" s="7" t="str">
        <x:v>Enter each income or expense once. Dashboard and summary tabs calculate from this table.</x:v>
      </x:c>
      <x:c r="E2" s="7" t="str">
        <x:v>Enter each income or expense once. Dashboard and summary tabs calculate from this table.</x:v>
      </x:c>
      <x:c r="F2" s="7" t="str">
        <x:v>Enter each income or expense once. Dashboard and summary tabs calculate from this table.</x:v>
      </x:c>
      <x:c r="G2" s="7" t="str">
        <x:v>Enter each income or expense once. Dashboard and summary tabs calculate from this table.</x:v>
      </x:c>
      <x:c r="H2" s="7" t="str">
        <x:v>Enter each income or expense once. Dashboard and summary tabs calculate from this table.</x:v>
      </x:c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29" t="str">
        <x:v>Monthly Snapshot</x:v>
      </x:c>
      <x:c r="B4" s="29" t="str">
        <x:v>Monthly Snapshot</x:v>
      </x:c>
      <x:c r="C4" s="29" t="str">
        <x:v>Monthly Snapshot</x:v>
      </x:c>
      <x:c r="D4" s="29" t="str">
        <x:v>Monthly Snapshot</x:v>
      </x:c>
      <x:c r="E4" s="29" t="str">
        <x:v>Monthly Snapshot</x:v>
      </x:c>
    </x:row>
    <x:row r="5">
      <x:c r="A5" s="36" t="str">
        <x:v>Budget Income</x:v>
      </x:c>
      <x:c r="B5" s="36" t="str">
        <x:v>Actual Income</x:v>
      </x:c>
      <x:c r="C5" s="36" t="str">
        <x:v>Budget Expenses</x:v>
      </x:c>
      <x:c r="D5" s="36" t="str">
        <x:v>Actual Expenses</x:v>
      </x:c>
      <x:c r="E5" s="36" t="str">
        <x:v>Net Cash Flow</x:v>
      </x:c>
    </x:row>
    <x:row r="6">
      <x:c r="A6" s="32" t="n">
        <x:f>SUMIFS(Categories!$O$5:$O$19,Categories!$A$5:$A$19,"Income")</x:f>
        <x:v>7000</x:v>
      </x:c>
      <x:c r="B6" s="32" t="n">
        <x:f>SUMIFS($E$11:$E$109,$C$11:$C$109,"Income")</x:f>
        <x:v>0</x:v>
      </x:c>
      <x:c r="C6" s="32" t="n">
        <x:f>SUMIFS(Categories!$O$5:$O$19,Categories!$A$5:$A$19,"Expense")</x:f>
        <x:v>6350</x:v>
      </x:c>
      <x:c r="D6" s="32" t="n">
        <x:f>SUMIFS($E$11:$E$109,$C$11:$C$109,"Expense")</x:f>
        <x:v>0</x:v>
      </x:c>
      <x:c r="E6" s="32" t="n">
        <x:f>B6-D6</x:f>
        <x:v>0</x:v>
      </x:c>
    </x:row>
    <x:row r="7">
      <x:c r="A7" s="36" t="str">
        <x:v>Transactions</x:v>
      </x:c>
      <x:c r="B7" s="36" t="str">
        <x:v>Paid Items</x:v>
      </x:c>
      <x:c r="C7" s="36" t="str">
        <x:v>Open Items</x:v>
      </x:c>
      <x:c r="D7" s="36" t="str">
        <x:v>Largest Expense</x:v>
      </x:c>
      <x:c r="E7" s="36" t="str">
        <x:v>Budget Remaining</x:v>
      </x:c>
    </x:row>
    <x:row r="8">
      <x:c r="A8" s="31" t="n">
        <x:f>COUNTA(A11:A109)</x:f>
        <x:v>0</x:v>
      </x:c>
      <x:c r="B8" s="31" t="n">
        <x:f>COUNTIFS(F11:F109,"Yes",A11:A109,"&lt;&gt;")</x:f>
        <x:v>0</x:v>
      </x:c>
      <x:c r="C8" s="31" t="n">
        <x:f>COUNTIFS(F11:F109,"No",A11:A109,"&lt;&gt;")</x:f>
        <x:v>0</x:v>
      </x:c>
      <x:c r="D8" s="32" t="n">
        <x:f>IFERROR(MAXIFS(E11:E109,C11:C109,"Expense"),0)</x:f>
        <x:v>0</x:v>
      </x:c>
      <x:c r="E8" s="32" t="n">
        <x:f>C6-D6</x:f>
        <x:v>6350</x:v>
      </x:c>
    </x:row>
    <x:row r="10">
      <x:c r="A10" s="44" t="str">
        <x:v>Date</x:v>
      </x:c>
      <x:c r="B10" s="44" t="str">
        <x:v>Description</x:v>
      </x:c>
      <x:c r="C10" s="44" t="str">
        <x:v>Type</x:v>
      </x:c>
      <x:c r="D10" s="44" t="str">
        <x:v>Category</x:v>
      </x:c>
      <x:c r="E10" s="44" t="str">
        <x:v>Amount</x:v>
      </x:c>
      <x:c r="F10" s="44" t="str">
        <x:v>Paid?</x:v>
      </x:c>
      <x:c r="G10" s="44" t="str">
        <x:v>Notes</x:v>
      </x:c>
      <x:c r="H10" s="44" t="str">
        <x:v>Month</x:v>
      </x:c>
    </x:row>
    <x:row r="11">
      <x:c r="A11" s="45"/>
      <x:c r="B11" s="31"/>
      <x:c r="C11" s="31"/>
      <x:c r="D11" s="31"/>
      <x:c r="E11" s="32"/>
      <x:c r="F11" s="31"/>
      <x:c r="G11" s="31"/>
      <x:c r="H11" s="31" t="str">
        <x:v>Dec</x:v>
      </x:c>
    </x:row>
    <x:row r="12">
      <x:c r="A12" s="45"/>
      <x:c r="B12" s="31"/>
      <x:c r="C12" s="31"/>
      <x:c r="D12" s="31"/>
      <x:c r="E12" s="32"/>
      <x:c r="F12" s="31"/>
      <x:c r="G12" s="31"/>
      <x:c r="H12" s="31" t="str">
        <x:v>Dec</x:v>
      </x:c>
    </x:row>
    <x:row r="13">
      <x:c r="A13" s="45"/>
      <x:c r="B13" s="31"/>
      <x:c r="C13" s="31"/>
      <x:c r="D13" s="31"/>
      <x:c r="E13" s="32"/>
      <x:c r="F13" s="31"/>
      <x:c r="G13" s="31"/>
      <x:c r="H13" s="31" t="str">
        <x:v>Dec</x:v>
      </x:c>
    </x:row>
    <x:row r="14">
      <x:c r="A14" s="45"/>
      <x:c r="B14" s="31"/>
      <x:c r="C14" s="31"/>
      <x:c r="D14" s="31"/>
      <x:c r="E14" s="32"/>
      <x:c r="F14" s="31"/>
      <x:c r="G14" s="31"/>
      <x:c r="H14" s="31" t="str">
        <x:v>Dec</x:v>
      </x:c>
    </x:row>
    <x:row r="15">
      <x:c r="A15" s="45"/>
      <x:c r="B15" s="31"/>
      <x:c r="C15" s="31"/>
      <x:c r="D15" s="31"/>
      <x:c r="E15" s="32"/>
      <x:c r="F15" s="31"/>
      <x:c r="G15" s="31"/>
      <x:c r="H15" s="31" t="str">
        <x:v>Dec</x:v>
      </x:c>
    </x:row>
    <x:row r="16">
      <x:c r="A16" s="45"/>
      <x:c r="B16" s="31"/>
      <x:c r="C16" s="31"/>
      <x:c r="D16" s="31"/>
      <x:c r="E16" s="32"/>
      <x:c r="F16" s="31"/>
      <x:c r="G16" s="31"/>
      <x:c r="H16" s="31" t="str">
        <x:v>Dec</x:v>
      </x:c>
    </x:row>
    <x:row r="17">
      <x:c r="A17" s="45"/>
      <x:c r="B17" s="31"/>
      <x:c r="C17" s="31"/>
      <x:c r="D17" s="31"/>
      <x:c r="E17" s="32"/>
      <x:c r="F17" s="31"/>
      <x:c r="G17" s="31"/>
      <x:c r="H17" s="31" t="str">
        <x:v>Dec</x:v>
      </x:c>
    </x:row>
    <x:row r="18">
      <x:c r="A18" s="45"/>
      <x:c r="B18" s="31"/>
      <x:c r="C18" s="31"/>
      <x:c r="D18" s="31"/>
      <x:c r="E18" s="32"/>
      <x:c r="F18" s="31"/>
      <x:c r="G18" s="31"/>
      <x:c r="H18" s="31" t="str">
        <x:v>Dec</x:v>
      </x:c>
    </x:row>
    <x:row r="19">
      <x:c r="A19" s="45"/>
      <x:c r="B19" s="31"/>
      <x:c r="C19" s="31"/>
      <x:c r="D19" s="31"/>
      <x:c r="E19" s="32"/>
      <x:c r="F19" s="31"/>
      <x:c r="G19" s="31"/>
      <x:c r="H19" s="31" t="str">
        <x:v>Dec</x:v>
      </x:c>
    </x:row>
    <x:row r="20">
      <x:c r="A20" s="45"/>
      <x:c r="B20" s="31"/>
      <x:c r="C20" s="31"/>
      <x:c r="D20" s="31"/>
      <x:c r="E20" s="32"/>
      <x:c r="F20" s="31"/>
      <x:c r="G20" s="31"/>
      <x:c r="H20" s="31" t="str">
        <x:v>Dec</x:v>
      </x:c>
    </x:row>
    <x:row r="21">
      <x:c r="A21" s="45"/>
      <x:c r="B21" s="31"/>
      <x:c r="C21" s="31"/>
      <x:c r="D21" s="31"/>
      <x:c r="E21" s="32"/>
      <x:c r="F21" s="31"/>
      <x:c r="G21" s="31"/>
      <x:c r="H21" s="31" t="str">
        <x:v>Dec</x:v>
      </x:c>
    </x:row>
    <x:row r="22">
      <x:c r="A22" s="45"/>
      <x:c r="B22" s="31"/>
      <x:c r="C22" s="31"/>
      <x:c r="D22" s="31"/>
      <x:c r="E22" s="32"/>
      <x:c r="F22" s="31"/>
      <x:c r="G22" s="31"/>
      <x:c r="H22" s="31" t="str">
        <x:v>Dec</x:v>
      </x:c>
    </x:row>
    <x:row r="23">
      <x:c r="A23" s="45"/>
      <x:c r="B23" s="31"/>
      <x:c r="C23" s="31"/>
      <x:c r="D23" s="31"/>
      <x:c r="E23" s="32"/>
      <x:c r="F23" s="31"/>
      <x:c r="G23" s="31"/>
      <x:c r="H23" s="31" t="str">
        <x:v>Dec</x:v>
      </x:c>
    </x:row>
    <x:row r="24">
      <x:c r="A24" s="45"/>
      <x:c r="B24" s="31"/>
      <x:c r="C24" s="31"/>
      <x:c r="D24" s="31"/>
      <x:c r="E24" s="32"/>
      <x:c r="F24" s="31"/>
      <x:c r="G24" s="31"/>
      <x:c r="H24" s="31" t="str">
        <x:v>Dec</x:v>
      </x:c>
    </x:row>
    <x:row r="25">
      <x:c r="A25" s="45"/>
      <x:c r="B25" s="31"/>
      <x:c r="C25" s="31"/>
      <x:c r="D25" s="31"/>
      <x:c r="E25" s="32"/>
      <x:c r="F25" s="31"/>
      <x:c r="G25" s="31"/>
      <x:c r="H25" s="31" t="str">
        <x:v>Dec</x:v>
      </x:c>
    </x:row>
    <x:row r="26">
      <x:c r="A26" s="45"/>
      <x:c r="B26" s="31"/>
      <x:c r="C26" s="31"/>
      <x:c r="D26" s="31"/>
      <x:c r="E26" s="32"/>
      <x:c r="F26" s="31"/>
      <x:c r="G26" s="31"/>
      <x:c r="H26" s="31" t="str">
        <x:v>Dec</x:v>
      </x:c>
    </x:row>
    <x:row r="27">
      <x:c r="A27" s="45"/>
      <x:c r="B27" s="31"/>
      <x:c r="C27" s="31"/>
      <x:c r="D27" s="31"/>
      <x:c r="E27" s="32"/>
      <x:c r="F27" s="31"/>
      <x:c r="G27" s="31"/>
      <x:c r="H27" s="31" t="str">
        <x:v>Dec</x:v>
      </x:c>
    </x:row>
    <x:row r="28">
      <x:c r="A28" s="45"/>
      <x:c r="B28" s="31"/>
      <x:c r="C28" s="31"/>
      <x:c r="D28" s="31"/>
      <x:c r="E28" s="32"/>
      <x:c r="F28" s="31"/>
      <x:c r="G28" s="31"/>
      <x:c r="H28" s="31" t="str">
        <x:v>Dec</x:v>
      </x:c>
    </x:row>
    <x:row r="29">
      <x:c r="A29" s="45"/>
      <x:c r="B29" s="31"/>
      <x:c r="C29" s="31"/>
      <x:c r="D29" s="31"/>
      <x:c r="E29" s="32"/>
      <x:c r="F29" s="31"/>
      <x:c r="G29" s="31"/>
      <x:c r="H29" s="31" t="str">
        <x:v>Dec</x:v>
      </x:c>
    </x:row>
    <x:row r="30">
      <x:c r="A30" s="45"/>
      <x:c r="B30" s="31"/>
      <x:c r="C30" s="31"/>
      <x:c r="D30" s="31"/>
      <x:c r="E30" s="32"/>
      <x:c r="F30" s="31"/>
      <x:c r="G30" s="31"/>
      <x:c r="H30" s="31" t="str">
        <x:v>Dec</x:v>
      </x:c>
    </x:row>
    <x:row r="31">
      <x:c r="A31" s="45"/>
      <x:c r="B31" s="31"/>
      <x:c r="C31" s="31"/>
      <x:c r="D31" s="31"/>
      <x:c r="E31" s="32"/>
      <x:c r="F31" s="31"/>
      <x:c r="G31" s="31"/>
      <x:c r="H31" s="31" t="str">
        <x:v>Dec</x:v>
      </x:c>
    </x:row>
    <x:row r="32">
      <x:c r="A32" s="45"/>
      <x:c r="B32" s="31"/>
      <x:c r="C32" s="31"/>
      <x:c r="D32" s="31"/>
      <x:c r="E32" s="32"/>
      <x:c r="F32" s="31"/>
      <x:c r="G32" s="31"/>
      <x:c r="H32" s="31" t="str">
        <x:v>Dec</x:v>
      </x:c>
    </x:row>
    <x:row r="33">
      <x:c r="A33" s="45"/>
      <x:c r="B33" s="31"/>
      <x:c r="C33" s="31"/>
      <x:c r="D33" s="31"/>
      <x:c r="E33" s="32"/>
      <x:c r="F33" s="31"/>
      <x:c r="G33" s="31"/>
      <x:c r="H33" s="31" t="str">
        <x:v>Dec</x:v>
      </x:c>
    </x:row>
    <x:row r="34">
      <x:c r="A34" s="45"/>
      <x:c r="B34" s="31"/>
      <x:c r="C34" s="31"/>
      <x:c r="D34" s="31"/>
      <x:c r="E34" s="32"/>
      <x:c r="F34" s="31"/>
      <x:c r="G34" s="31"/>
      <x:c r="H34" s="31" t="str">
        <x:v>Dec</x:v>
      </x:c>
    </x:row>
    <x:row r="35">
      <x:c r="A35" s="45"/>
      <x:c r="B35" s="31"/>
      <x:c r="C35" s="31"/>
      <x:c r="D35" s="31"/>
      <x:c r="E35" s="32"/>
      <x:c r="F35" s="31"/>
      <x:c r="G35" s="31"/>
      <x:c r="H35" s="31" t="str">
        <x:v>Dec</x:v>
      </x:c>
    </x:row>
    <x:row r="36">
      <x:c r="A36" s="45"/>
      <x:c r="B36" s="31"/>
      <x:c r="C36" s="31"/>
      <x:c r="D36" s="31"/>
      <x:c r="E36" s="32"/>
      <x:c r="F36" s="31"/>
      <x:c r="G36" s="31"/>
      <x:c r="H36" s="31" t="str">
        <x:v>Dec</x:v>
      </x:c>
    </x:row>
    <x:row r="37">
      <x:c r="A37" s="45"/>
      <x:c r="B37" s="31"/>
      <x:c r="C37" s="31"/>
      <x:c r="D37" s="31"/>
      <x:c r="E37" s="32"/>
      <x:c r="F37" s="31"/>
      <x:c r="G37" s="31"/>
      <x:c r="H37" s="31" t="str">
        <x:v>Dec</x:v>
      </x:c>
    </x:row>
    <x:row r="38">
      <x:c r="A38" s="45"/>
      <x:c r="B38" s="31"/>
      <x:c r="C38" s="31"/>
      <x:c r="D38" s="31"/>
      <x:c r="E38" s="32"/>
      <x:c r="F38" s="31"/>
      <x:c r="G38" s="31"/>
      <x:c r="H38" s="31" t="str">
        <x:v>Dec</x:v>
      </x:c>
    </x:row>
    <x:row r="39">
      <x:c r="A39" s="45"/>
      <x:c r="B39" s="31"/>
      <x:c r="C39" s="31"/>
      <x:c r="D39" s="31"/>
      <x:c r="E39" s="32"/>
      <x:c r="F39" s="31"/>
      <x:c r="G39" s="31"/>
      <x:c r="H39" s="31" t="str">
        <x:v>Dec</x:v>
      </x:c>
    </x:row>
    <x:row r="40">
      <x:c r="A40" s="45"/>
      <x:c r="B40" s="31"/>
      <x:c r="C40" s="31"/>
      <x:c r="D40" s="31"/>
      <x:c r="E40" s="32"/>
      <x:c r="F40" s="31"/>
      <x:c r="G40" s="31"/>
      <x:c r="H40" s="31" t="str">
        <x:v>Dec</x:v>
      </x:c>
    </x:row>
    <x:row r="41">
      <x:c r="A41" s="45"/>
      <x:c r="B41" s="31"/>
      <x:c r="C41" s="31"/>
      <x:c r="D41" s="31"/>
      <x:c r="E41" s="32"/>
      <x:c r="F41" s="31"/>
      <x:c r="G41" s="31"/>
      <x:c r="H41" s="31" t="str">
        <x:v>Dec</x:v>
      </x:c>
    </x:row>
    <x:row r="42">
      <x:c r="A42" s="45"/>
      <x:c r="B42" s="31"/>
      <x:c r="C42" s="31"/>
      <x:c r="D42" s="31"/>
      <x:c r="E42" s="32"/>
      <x:c r="F42" s="31"/>
      <x:c r="G42" s="31"/>
      <x:c r="H42" s="31" t="str">
        <x:v>Dec</x:v>
      </x:c>
    </x:row>
    <x:row r="43">
      <x:c r="A43" s="45"/>
      <x:c r="B43" s="31"/>
      <x:c r="C43" s="31"/>
      <x:c r="D43" s="31"/>
      <x:c r="E43" s="32"/>
      <x:c r="F43" s="31"/>
      <x:c r="G43" s="31"/>
      <x:c r="H43" s="31" t="str">
        <x:v>Dec</x:v>
      </x:c>
    </x:row>
    <x:row r="44">
      <x:c r="A44" s="45"/>
      <x:c r="B44" s="31"/>
      <x:c r="C44" s="31"/>
      <x:c r="D44" s="31"/>
      <x:c r="E44" s="32"/>
      <x:c r="F44" s="31"/>
      <x:c r="G44" s="31"/>
      <x:c r="H44" s="31" t="str">
        <x:v>Dec</x:v>
      </x:c>
    </x:row>
    <x:row r="45">
      <x:c r="A45" s="45"/>
      <x:c r="B45" s="31"/>
      <x:c r="C45" s="31"/>
      <x:c r="D45" s="31"/>
      <x:c r="E45" s="32"/>
      <x:c r="F45" s="31"/>
      <x:c r="G45" s="31"/>
      <x:c r="H45" s="31" t="str">
        <x:v>Dec</x:v>
      </x:c>
    </x:row>
    <x:row r="46">
      <x:c r="A46" s="45"/>
      <x:c r="B46" s="31"/>
      <x:c r="C46" s="31"/>
      <x:c r="D46" s="31"/>
      <x:c r="E46" s="32"/>
      <x:c r="F46" s="31"/>
      <x:c r="G46" s="31"/>
      <x:c r="H46" s="31" t="str">
        <x:v>Dec</x:v>
      </x:c>
    </x:row>
    <x:row r="47">
      <x:c r="A47" s="45"/>
      <x:c r="B47" s="31"/>
      <x:c r="C47" s="31"/>
      <x:c r="D47" s="31"/>
      <x:c r="E47" s="32"/>
      <x:c r="F47" s="31"/>
      <x:c r="G47" s="31"/>
      <x:c r="H47" s="31" t="str">
        <x:v>Dec</x:v>
      </x:c>
    </x:row>
    <x:row r="48">
      <x:c r="A48" s="45"/>
      <x:c r="B48" s="31"/>
      <x:c r="C48" s="31"/>
      <x:c r="D48" s="31"/>
      <x:c r="E48" s="32"/>
      <x:c r="F48" s="31"/>
      <x:c r="G48" s="31"/>
      <x:c r="H48" s="31" t="str">
        <x:v>Dec</x:v>
      </x:c>
    </x:row>
    <x:row r="49">
      <x:c r="A49" s="45"/>
      <x:c r="B49" s="31"/>
      <x:c r="C49" s="31"/>
      <x:c r="D49" s="31"/>
      <x:c r="E49" s="32"/>
      <x:c r="F49" s="31"/>
      <x:c r="G49" s="31"/>
      <x:c r="H49" s="31" t="str">
        <x:v>Dec</x:v>
      </x:c>
    </x:row>
    <x:row r="50">
      <x:c r="A50" s="45"/>
      <x:c r="B50" s="31"/>
      <x:c r="C50" s="31"/>
      <x:c r="D50" s="31"/>
      <x:c r="E50" s="32"/>
      <x:c r="F50" s="31"/>
      <x:c r="G50" s="31"/>
      <x:c r="H50" s="31" t="str">
        <x:v>Dec</x:v>
      </x:c>
    </x:row>
    <x:row r="51">
      <x:c r="A51" s="45"/>
      <x:c r="B51" s="31"/>
      <x:c r="C51" s="31"/>
      <x:c r="D51" s="31"/>
      <x:c r="E51" s="32"/>
      <x:c r="F51" s="31"/>
      <x:c r="G51" s="31"/>
      <x:c r="H51" s="31" t="str">
        <x:v>Dec</x:v>
      </x:c>
    </x:row>
    <x:row r="52">
      <x:c r="A52" s="45"/>
      <x:c r="B52" s="31"/>
      <x:c r="C52" s="31"/>
      <x:c r="D52" s="31"/>
      <x:c r="E52" s="32"/>
      <x:c r="F52" s="31"/>
      <x:c r="G52" s="31"/>
      <x:c r="H52" s="31" t="str">
        <x:v>Dec</x:v>
      </x:c>
    </x:row>
    <x:row r="53">
      <x:c r="A53" s="45"/>
      <x:c r="B53" s="31"/>
      <x:c r="C53" s="31"/>
      <x:c r="D53" s="31"/>
      <x:c r="E53" s="32"/>
      <x:c r="F53" s="31"/>
      <x:c r="G53" s="31"/>
      <x:c r="H53" s="31" t="str">
        <x:v>Dec</x:v>
      </x:c>
    </x:row>
    <x:row r="54">
      <x:c r="A54" s="45"/>
      <x:c r="B54" s="31"/>
      <x:c r="C54" s="31"/>
      <x:c r="D54" s="31"/>
      <x:c r="E54" s="32"/>
      <x:c r="F54" s="31"/>
      <x:c r="G54" s="31"/>
      <x:c r="H54" s="31" t="str">
        <x:v>Dec</x:v>
      </x:c>
    </x:row>
    <x:row r="55">
      <x:c r="A55" s="45"/>
      <x:c r="B55" s="31"/>
      <x:c r="C55" s="31"/>
      <x:c r="D55" s="31"/>
      <x:c r="E55" s="32"/>
      <x:c r="F55" s="31"/>
      <x:c r="G55" s="31"/>
      <x:c r="H55" s="31" t="str">
        <x:v>Dec</x:v>
      </x:c>
    </x:row>
    <x:row r="56">
      <x:c r="A56" s="45"/>
      <x:c r="B56" s="31"/>
      <x:c r="C56" s="31"/>
      <x:c r="D56" s="31"/>
      <x:c r="E56" s="32"/>
      <x:c r="F56" s="31"/>
      <x:c r="G56" s="31"/>
      <x:c r="H56" s="31" t="str">
        <x:v>Dec</x:v>
      </x:c>
    </x:row>
    <x:row r="57">
      <x:c r="A57" s="45"/>
      <x:c r="B57" s="31"/>
      <x:c r="C57" s="31"/>
      <x:c r="D57" s="31"/>
      <x:c r="E57" s="32"/>
      <x:c r="F57" s="31"/>
      <x:c r="G57" s="31"/>
      <x:c r="H57" s="31" t="str">
        <x:v>Dec</x:v>
      </x:c>
    </x:row>
    <x:row r="58">
      <x:c r="A58" s="45"/>
      <x:c r="B58" s="31"/>
      <x:c r="C58" s="31"/>
      <x:c r="D58" s="31"/>
      <x:c r="E58" s="32"/>
      <x:c r="F58" s="31"/>
      <x:c r="G58" s="31"/>
      <x:c r="H58" s="31" t="str">
        <x:v>Dec</x:v>
      </x:c>
    </x:row>
    <x:row r="59">
      <x:c r="A59" s="45"/>
      <x:c r="B59" s="31"/>
      <x:c r="C59" s="31"/>
      <x:c r="D59" s="31"/>
      <x:c r="E59" s="32"/>
      <x:c r="F59" s="31"/>
      <x:c r="G59" s="31"/>
      <x:c r="H59" s="31" t="str">
        <x:v>Dec</x:v>
      </x:c>
    </x:row>
    <x:row r="60">
      <x:c r="A60" s="45"/>
      <x:c r="B60" s="31"/>
      <x:c r="C60" s="31"/>
      <x:c r="D60" s="31"/>
      <x:c r="E60" s="32"/>
      <x:c r="F60" s="31"/>
      <x:c r="G60" s="31"/>
      <x:c r="H60" s="31" t="str">
        <x:v>Dec</x:v>
      </x:c>
    </x:row>
    <x:row r="61">
      <x:c r="A61" s="45"/>
      <x:c r="B61" s="31"/>
      <x:c r="C61" s="31"/>
      <x:c r="D61" s="31"/>
      <x:c r="E61" s="32"/>
      <x:c r="F61" s="31"/>
      <x:c r="G61" s="31"/>
      <x:c r="H61" s="31" t="str">
        <x:v>Dec</x:v>
      </x:c>
    </x:row>
    <x:row r="62">
      <x:c r="A62" s="45"/>
      <x:c r="B62" s="31"/>
      <x:c r="C62" s="31"/>
      <x:c r="D62" s="31"/>
      <x:c r="E62" s="32"/>
      <x:c r="F62" s="31"/>
      <x:c r="G62" s="31"/>
      <x:c r="H62" s="31" t="str">
        <x:v>Dec</x:v>
      </x:c>
    </x:row>
    <x:row r="63">
      <x:c r="A63" s="45"/>
      <x:c r="B63" s="31"/>
      <x:c r="C63" s="31"/>
      <x:c r="D63" s="31"/>
      <x:c r="E63" s="32"/>
      <x:c r="F63" s="31"/>
      <x:c r="G63" s="31"/>
      <x:c r="H63" s="31" t="str">
        <x:v>Dec</x:v>
      </x:c>
    </x:row>
    <x:row r="64">
      <x:c r="A64" s="45"/>
      <x:c r="B64" s="31"/>
      <x:c r="C64" s="31"/>
      <x:c r="D64" s="31"/>
      <x:c r="E64" s="32"/>
      <x:c r="F64" s="31"/>
      <x:c r="G64" s="31"/>
      <x:c r="H64" s="31" t="str">
        <x:v>Dec</x:v>
      </x:c>
    </x:row>
    <x:row r="65">
      <x:c r="A65" s="45"/>
      <x:c r="B65" s="31"/>
      <x:c r="C65" s="31"/>
      <x:c r="D65" s="31"/>
      <x:c r="E65" s="32"/>
      <x:c r="F65" s="31"/>
      <x:c r="G65" s="31"/>
      <x:c r="H65" s="31" t="str">
        <x:v>Dec</x:v>
      </x:c>
    </x:row>
    <x:row r="66">
      <x:c r="A66" s="45"/>
      <x:c r="B66" s="31"/>
      <x:c r="C66" s="31"/>
      <x:c r="D66" s="31"/>
      <x:c r="E66" s="32"/>
      <x:c r="F66" s="31"/>
      <x:c r="G66" s="31"/>
      <x:c r="H66" s="31" t="str">
        <x:v>Dec</x:v>
      </x:c>
    </x:row>
    <x:row r="67">
      <x:c r="A67" s="45"/>
      <x:c r="B67" s="31"/>
      <x:c r="C67" s="31"/>
      <x:c r="D67" s="31"/>
      <x:c r="E67" s="32"/>
      <x:c r="F67" s="31"/>
      <x:c r="G67" s="31"/>
      <x:c r="H67" s="31" t="str">
        <x:v>Dec</x:v>
      </x:c>
    </x:row>
    <x:row r="68">
      <x:c r="A68" s="45"/>
      <x:c r="B68" s="31"/>
      <x:c r="C68" s="31"/>
      <x:c r="D68" s="31"/>
      <x:c r="E68" s="32"/>
      <x:c r="F68" s="31"/>
      <x:c r="G68" s="31"/>
      <x:c r="H68" s="31" t="str">
        <x:v>Dec</x:v>
      </x:c>
    </x:row>
    <x:row r="69">
      <x:c r="A69" s="45"/>
      <x:c r="B69" s="31"/>
      <x:c r="C69" s="31"/>
      <x:c r="D69" s="31"/>
      <x:c r="E69" s="32"/>
      <x:c r="F69" s="31"/>
      <x:c r="G69" s="31"/>
      <x:c r="H69" s="31" t="str">
        <x:v>Dec</x:v>
      </x:c>
    </x:row>
    <x:row r="70">
      <x:c r="A70" s="45"/>
      <x:c r="B70" s="31"/>
      <x:c r="C70" s="31"/>
      <x:c r="D70" s="31"/>
      <x:c r="E70" s="32"/>
      <x:c r="F70" s="31"/>
      <x:c r="G70" s="31"/>
      <x:c r="H70" s="31" t="str">
        <x:v>Dec</x:v>
      </x:c>
    </x:row>
    <x:row r="71">
      <x:c r="A71" s="45"/>
      <x:c r="B71" s="31"/>
      <x:c r="C71" s="31"/>
      <x:c r="D71" s="31"/>
      <x:c r="E71" s="32"/>
      <x:c r="F71" s="31"/>
      <x:c r="G71" s="31"/>
      <x:c r="H71" s="31" t="str">
        <x:v>Dec</x:v>
      </x:c>
    </x:row>
    <x:row r="72">
      <x:c r="A72" s="45"/>
      <x:c r="B72" s="31"/>
      <x:c r="C72" s="31"/>
      <x:c r="D72" s="31"/>
      <x:c r="E72" s="32"/>
      <x:c r="F72" s="31"/>
      <x:c r="G72" s="31"/>
      <x:c r="H72" s="31" t="str">
        <x:v>Dec</x:v>
      </x:c>
    </x:row>
    <x:row r="73">
      <x:c r="A73" s="45"/>
      <x:c r="B73" s="31"/>
      <x:c r="C73" s="31"/>
      <x:c r="D73" s="31"/>
      <x:c r="E73" s="32"/>
      <x:c r="F73" s="31"/>
      <x:c r="G73" s="31"/>
      <x:c r="H73" s="31" t="str">
        <x:v>Dec</x:v>
      </x:c>
    </x:row>
    <x:row r="74">
      <x:c r="A74" s="45"/>
      <x:c r="B74" s="31"/>
      <x:c r="C74" s="31"/>
      <x:c r="D74" s="31"/>
      <x:c r="E74" s="32"/>
      <x:c r="F74" s="31"/>
      <x:c r="G74" s="31"/>
      <x:c r="H74" s="31" t="str">
        <x:v>Dec</x:v>
      </x:c>
    </x:row>
    <x:row r="75">
      <x:c r="A75" s="45"/>
      <x:c r="B75" s="31"/>
      <x:c r="C75" s="31"/>
      <x:c r="D75" s="31"/>
      <x:c r="E75" s="32"/>
      <x:c r="F75" s="31"/>
      <x:c r="G75" s="31"/>
      <x:c r="H75" s="31" t="str">
        <x:v>Dec</x:v>
      </x:c>
    </x:row>
    <x:row r="76">
      <x:c r="A76" s="45"/>
      <x:c r="B76" s="31"/>
      <x:c r="C76" s="31"/>
      <x:c r="D76" s="31"/>
      <x:c r="E76" s="32"/>
      <x:c r="F76" s="31"/>
      <x:c r="G76" s="31"/>
      <x:c r="H76" s="31" t="str">
        <x:v>Dec</x:v>
      </x:c>
    </x:row>
    <x:row r="77">
      <x:c r="A77" s="45"/>
      <x:c r="B77" s="31"/>
      <x:c r="C77" s="31"/>
      <x:c r="D77" s="31"/>
      <x:c r="E77" s="32"/>
      <x:c r="F77" s="31"/>
      <x:c r="G77" s="31"/>
      <x:c r="H77" s="31" t="str">
        <x:v>Dec</x:v>
      </x:c>
    </x:row>
    <x:row r="78">
      <x:c r="A78" s="45"/>
      <x:c r="B78" s="31"/>
      <x:c r="C78" s="31"/>
      <x:c r="D78" s="31"/>
      <x:c r="E78" s="32"/>
      <x:c r="F78" s="31"/>
      <x:c r="G78" s="31"/>
      <x:c r="H78" s="31" t="str">
        <x:v>Dec</x:v>
      </x:c>
    </x:row>
    <x:row r="79">
      <x:c r="A79" s="45"/>
      <x:c r="B79" s="31"/>
      <x:c r="C79" s="31"/>
      <x:c r="D79" s="31"/>
      <x:c r="E79" s="32"/>
      <x:c r="F79" s="31"/>
      <x:c r="G79" s="31"/>
      <x:c r="H79" s="31" t="str">
        <x:v>Dec</x:v>
      </x:c>
    </x:row>
    <x:row r="80">
      <x:c r="A80" s="45"/>
      <x:c r="B80" s="31"/>
      <x:c r="C80" s="31"/>
      <x:c r="D80" s="31"/>
      <x:c r="E80" s="32"/>
      <x:c r="F80" s="31"/>
      <x:c r="G80" s="31"/>
      <x:c r="H80" s="31" t="str">
        <x:v>Dec</x:v>
      </x:c>
    </x:row>
    <x:row r="81">
      <x:c r="A81" s="45"/>
      <x:c r="B81" s="31"/>
      <x:c r="C81" s="31"/>
      <x:c r="D81" s="31"/>
      <x:c r="E81" s="32"/>
      <x:c r="F81" s="31"/>
      <x:c r="G81" s="31"/>
      <x:c r="H81" s="31" t="str">
        <x:v>Dec</x:v>
      </x:c>
    </x:row>
    <x:row r="82">
      <x:c r="A82" s="45"/>
      <x:c r="B82" s="31"/>
      <x:c r="C82" s="31"/>
      <x:c r="D82" s="31"/>
      <x:c r="E82" s="32"/>
      <x:c r="F82" s="31"/>
      <x:c r="G82" s="31"/>
      <x:c r="H82" s="31" t="str">
        <x:v>Dec</x:v>
      </x:c>
    </x:row>
    <x:row r="83">
      <x:c r="A83" s="45"/>
      <x:c r="B83" s="31"/>
      <x:c r="C83" s="31"/>
      <x:c r="D83" s="31"/>
      <x:c r="E83" s="32"/>
      <x:c r="F83" s="31"/>
      <x:c r="G83" s="31"/>
      <x:c r="H83" s="31" t="str">
        <x:v>Dec</x:v>
      </x:c>
    </x:row>
    <x:row r="84">
      <x:c r="A84" s="45"/>
      <x:c r="B84" s="31"/>
      <x:c r="C84" s="31"/>
      <x:c r="D84" s="31"/>
      <x:c r="E84" s="32"/>
      <x:c r="F84" s="31"/>
      <x:c r="G84" s="31"/>
      <x:c r="H84" s="31" t="str">
        <x:v>Dec</x:v>
      </x:c>
    </x:row>
    <x:row r="85">
      <x:c r="A85" s="45"/>
      <x:c r="B85" s="31"/>
      <x:c r="C85" s="31"/>
      <x:c r="D85" s="31"/>
      <x:c r="E85" s="32"/>
      <x:c r="F85" s="31"/>
      <x:c r="G85" s="31"/>
      <x:c r="H85" s="31" t="str">
        <x:v>Dec</x:v>
      </x:c>
    </x:row>
    <x:row r="86">
      <x:c r="A86" s="45"/>
      <x:c r="B86" s="31"/>
      <x:c r="C86" s="31"/>
      <x:c r="D86" s="31"/>
      <x:c r="E86" s="32"/>
      <x:c r="F86" s="31"/>
      <x:c r="G86" s="31"/>
      <x:c r="H86" s="31" t="str">
        <x:v>Dec</x:v>
      </x:c>
    </x:row>
    <x:row r="87">
      <x:c r="A87" s="45"/>
      <x:c r="B87" s="31"/>
      <x:c r="C87" s="31"/>
      <x:c r="D87" s="31"/>
      <x:c r="E87" s="32"/>
      <x:c r="F87" s="31"/>
      <x:c r="G87" s="31"/>
      <x:c r="H87" s="31" t="str">
        <x:v>Dec</x:v>
      </x:c>
    </x:row>
    <x:row r="88">
      <x:c r="A88" s="45"/>
      <x:c r="B88" s="31"/>
      <x:c r="C88" s="31"/>
      <x:c r="D88" s="31"/>
      <x:c r="E88" s="32"/>
      <x:c r="F88" s="31"/>
      <x:c r="G88" s="31"/>
      <x:c r="H88" s="31" t="str">
        <x:v>Dec</x:v>
      </x:c>
    </x:row>
    <x:row r="89">
      <x:c r="A89" s="45"/>
      <x:c r="B89" s="31"/>
      <x:c r="C89" s="31"/>
      <x:c r="D89" s="31"/>
      <x:c r="E89" s="32"/>
      <x:c r="F89" s="31"/>
      <x:c r="G89" s="31"/>
      <x:c r="H89" s="31" t="str">
        <x:v>Dec</x:v>
      </x:c>
    </x:row>
    <x:row r="90">
      <x:c r="A90" s="45"/>
      <x:c r="B90" s="31"/>
      <x:c r="C90" s="31"/>
      <x:c r="D90" s="31"/>
      <x:c r="E90" s="32"/>
      <x:c r="F90" s="31"/>
      <x:c r="G90" s="31"/>
      <x:c r="H90" s="31" t="str">
        <x:v>Dec</x:v>
      </x:c>
    </x:row>
    <x:row r="91">
      <x:c r="A91" s="45"/>
      <x:c r="B91" s="31"/>
      <x:c r="C91" s="31"/>
      <x:c r="D91" s="31"/>
      <x:c r="E91" s="32"/>
      <x:c r="F91" s="31"/>
      <x:c r="G91" s="31"/>
      <x:c r="H91" s="31" t="str">
        <x:v>Dec</x:v>
      </x:c>
    </x:row>
    <x:row r="92">
      <x:c r="A92" s="45"/>
      <x:c r="B92" s="31"/>
      <x:c r="C92" s="31"/>
      <x:c r="D92" s="31"/>
      <x:c r="E92" s="32"/>
      <x:c r="F92" s="31"/>
      <x:c r="G92" s="31"/>
      <x:c r="H92" s="31" t="str">
        <x:v>Dec</x:v>
      </x:c>
    </x:row>
    <x:row r="93">
      <x:c r="A93" s="45"/>
      <x:c r="B93" s="31"/>
      <x:c r="C93" s="31"/>
      <x:c r="D93" s="31"/>
      <x:c r="E93" s="32"/>
      <x:c r="F93" s="31"/>
      <x:c r="G93" s="31"/>
      <x:c r="H93" s="31" t="str">
        <x:v>Dec</x:v>
      </x:c>
    </x:row>
    <x:row r="94">
      <x:c r="A94" s="45"/>
      <x:c r="B94" s="31"/>
      <x:c r="C94" s="31"/>
      <x:c r="D94" s="31"/>
      <x:c r="E94" s="32"/>
      <x:c r="F94" s="31"/>
      <x:c r="G94" s="31"/>
      <x:c r="H94" s="31" t="str">
        <x:v>Dec</x:v>
      </x:c>
    </x:row>
    <x:row r="95">
      <x:c r="A95" s="45"/>
      <x:c r="B95" s="31"/>
      <x:c r="C95" s="31"/>
      <x:c r="D95" s="31"/>
      <x:c r="E95" s="32"/>
      <x:c r="F95" s="31"/>
      <x:c r="G95" s="31"/>
      <x:c r="H95" s="31" t="str">
        <x:v>Dec</x:v>
      </x:c>
    </x:row>
    <x:row r="96">
      <x:c r="A96" s="45"/>
      <x:c r="B96" s="31"/>
      <x:c r="C96" s="31"/>
      <x:c r="D96" s="31"/>
      <x:c r="E96" s="32"/>
      <x:c r="F96" s="31"/>
      <x:c r="G96" s="31"/>
      <x:c r="H96" s="31" t="str">
        <x:v>Dec</x:v>
      </x:c>
    </x:row>
    <x:row r="97">
      <x:c r="A97" s="45"/>
      <x:c r="B97" s="31"/>
      <x:c r="C97" s="31"/>
      <x:c r="D97" s="31"/>
      <x:c r="E97" s="32"/>
      <x:c r="F97" s="31"/>
      <x:c r="G97" s="31"/>
      <x:c r="H97" s="31" t="str">
        <x:v>Dec</x:v>
      </x:c>
    </x:row>
    <x:row r="98">
      <x:c r="A98" s="45"/>
      <x:c r="B98" s="31"/>
      <x:c r="C98" s="31"/>
      <x:c r="D98" s="31"/>
      <x:c r="E98" s="32"/>
      <x:c r="F98" s="31"/>
      <x:c r="G98" s="31"/>
      <x:c r="H98" s="31" t="str">
        <x:v>Dec</x:v>
      </x:c>
    </x:row>
    <x:row r="99">
      <x:c r="A99" s="45"/>
      <x:c r="B99" s="31"/>
      <x:c r="C99" s="31"/>
      <x:c r="D99" s="31"/>
      <x:c r="E99" s="32"/>
      <x:c r="F99" s="31"/>
      <x:c r="G99" s="31"/>
      <x:c r="H99" s="31" t="str">
        <x:v>Dec</x:v>
      </x:c>
    </x:row>
    <x:row r="100">
      <x:c r="A100" s="45"/>
      <x:c r="B100" s="31"/>
      <x:c r="C100" s="31"/>
      <x:c r="D100" s="31"/>
      <x:c r="E100" s="32"/>
      <x:c r="F100" s="31"/>
      <x:c r="G100" s="31"/>
      <x:c r="H100" s="31" t="str">
        <x:v>Dec</x:v>
      </x:c>
    </x:row>
    <x:row r="101">
      <x:c r="A101" s="45"/>
      <x:c r="B101" s="31"/>
      <x:c r="C101" s="31"/>
      <x:c r="D101" s="31"/>
      <x:c r="E101" s="32"/>
      <x:c r="F101" s="31"/>
      <x:c r="G101" s="31"/>
      <x:c r="H101" s="31" t="str">
        <x:v>Dec</x:v>
      </x:c>
    </x:row>
    <x:row r="102">
      <x:c r="A102" s="45"/>
      <x:c r="B102" s="31"/>
      <x:c r="C102" s="31"/>
      <x:c r="D102" s="31"/>
      <x:c r="E102" s="32"/>
      <x:c r="F102" s="31"/>
      <x:c r="G102" s="31"/>
      <x:c r="H102" s="31" t="str">
        <x:v>Dec</x:v>
      </x:c>
    </x:row>
    <x:row r="103">
      <x:c r="A103" s="45"/>
      <x:c r="B103" s="31"/>
      <x:c r="C103" s="31"/>
      <x:c r="D103" s="31"/>
      <x:c r="E103" s="32"/>
      <x:c r="F103" s="31"/>
      <x:c r="G103" s="31"/>
      <x:c r="H103" s="31" t="str">
        <x:v>Dec</x:v>
      </x:c>
    </x:row>
    <x:row r="104">
      <x:c r="A104" s="45"/>
      <x:c r="B104" s="31"/>
      <x:c r="C104" s="31"/>
      <x:c r="D104" s="31"/>
      <x:c r="E104" s="32"/>
      <x:c r="F104" s="31"/>
      <x:c r="G104" s="31"/>
      <x:c r="H104" s="31" t="str">
        <x:v>Dec</x:v>
      </x:c>
    </x:row>
    <x:row r="105">
      <x:c r="A105" s="45"/>
      <x:c r="B105" s="31"/>
      <x:c r="C105" s="31"/>
      <x:c r="D105" s="31"/>
      <x:c r="E105" s="32"/>
      <x:c r="F105" s="31"/>
      <x:c r="G105" s="31"/>
      <x:c r="H105" s="31" t="str">
        <x:v>Dec</x:v>
      </x:c>
    </x:row>
    <x:row r="106">
      <x:c r="A106" s="45"/>
      <x:c r="B106" s="31"/>
      <x:c r="C106" s="31"/>
      <x:c r="D106" s="31"/>
      <x:c r="E106" s="32"/>
      <x:c r="F106" s="31"/>
      <x:c r="G106" s="31"/>
      <x:c r="H106" s="31" t="str">
        <x:v>Dec</x:v>
      </x:c>
    </x:row>
    <x:row r="107">
      <x:c r="A107" s="45"/>
      <x:c r="B107" s="31"/>
      <x:c r="C107" s="31"/>
      <x:c r="D107" s="31"/>
      <x:c r="E107" s="32"/>
      <x:c r="F107" s="31"/>
      <x:c r="G107" s="31"/>
      <x:c r="H107" s="31" t="str">
        <x:v>Dec</x:v>
      </x:c>
    </x:row>
    <x:row r="108">
      <x:c r="A108" s="45"/>
      <x:c r="B108" s="31"/>
      <x:c r="C108" s="31"/>
      <x:c r="D108" s="31"/>
      <x:c r="E108" s="32"/>
      <x:c r="F108" s="31"/>
      <x:c r="G108" s="31"/>
      <x:c r="H108" s="31" t="str">
        <x:v>Dec</x:v>
      </x:c>
    </x:row>
    <x:row r="109">
      <x:c r="A109" s="45"/>
      <x:c r="B109" s="31"/>
      <x:c r="C109" s="31"/>
      <x:c r="D109" s="31"/>
      <x:c r="E109" s="32"/>
      <x:c r="F109" s="31"/>
      <x:c r="G109" s="31"/>
      <x:c r="H109" s="31" t="str">
        <x:v>Dec</x:v>
      </x:c>
    </x:row>
  </x:sheetData>
  <x:mergeCells>
    <x:mergeCell ref="A1:H1"/>
    <x:mergeCell ref="A2:H2"/>
    <x:mergeCell ref="A4:E4"/>
  </x:mergeCells>
  <x:dataValidations count="3">
    <x:dataValidation type="list" sqref="C11:C109">
      <x:formula1>"Income,Expense"</x:formula1>
    </x:dataValidation>
    <x:dataValidation type="list" sqref="D11:D109">
      <x:formula1>Categories!$B$5:$B$19</x:formula1>
    </x:dataValidation>
    <x:dataValidation type="list" sqref="F11:F1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212df3238244e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5.479999542236328" hidden="0" customWidth="1"/>
    <x:col min="3" max="3" width="15.479999542236328" hidden="0" customWidth="1"/>
    <x:col min="4" max="4" width="16.81999969482422" hidden="0" customWidth="1"/>
    <x:col min="5" max="5" width="16.81999969482422" hidden="0" customWidth="1"/>
    <x:col min="6" max="6" width="16.149999618530273" hidden="0" customWidth="1"/>
    <x:col min="7" max="7" width="16.81999969482422" hidden="0" customWidth="1"/>
    <x:col min="8" max="8" width="13.460000038146973" hidden="0" customWidth="1"/>
  </x:cols>
  <x:sheetData>
    <x:row r="1" ht="25.5" customHeight="1">
      <x:c r="A1" s="4" t="str">
        <x:v>2026 Annual Summary</x:v>
      </x:c>
      <x:c r="B1" s="4" t="str">
        <x:v>2026 Annual Summary</x:v>
      </x:c>
      <x:c r="C1" s="4" t="str">
        <x:v>2026 Annual Summary</x:v>
      </x:c>
      <x:c r="D1" s="4" t="str">
        <x:v>2026 Annual Summary</x:v>
      </x:c>
      <x:c r="E1" s="4" t="str">
        <x:v>2026 Annual Summary</x:v>
      </x:c>
      <x:c r="F1" s="4" t="str">
        <x:v>2026 Annual Summary</x:v>
      </x:c>
      <x:c r="G1" s="4" t="str">
        <x:v>2026 Annual Summary</x:v>
      </x:c>
      <x:c r="H1" s="4" t="str">
        <x:v>2026 Annual Summary</x:v>
      </x:c>
    </x:row>
    <x:row r="2">
      <x:c r="A2" s="7" t="str">
        <x:v>Formula-backed month-by-month totals from each transaction sheet.</x:v>
      </x:c>
      <x:c r="B2" s="7" t="str">
        <x:v>Formula-backed month-by-month totals from each transaction sheet.</x:v>
      </x:c>
      <x:c r="C2" s="7" t="str">
        <x:v>Formula-backed month-by-month totals from each transaction sheet.</x:v>
      </x:c>
      <x:c r="D2" s="7" t="str">
        <x:v>Formula-backed month-by-month totals from each transaction sheet.</x:v>
      </x:c>
      <x:c r="E2" s="7" t="str">
        <x:v>Formula-backed month-by-month totals from each transaction sheet.</x:v>
      </x:c>
      <x:c r="F2" s="7" t="str">
        <x:v>Formula-backed month-by-month totals from each transaction sheet.</x:v>
      </x:c>
      <x:c r="G2" s="7" t="str">
        <x:v>Formula-backed month-by-month totals from each transaction sheet.</x:v>
      </x:c>
      <x:c r="H2" s="7" t="str">
        <x:v>Formula-backed month-by-month totals from each transaction sheet.</x:v>
      </x:c>
    </x:row>
    <x:row r="4">
      <x:c r="A4" s="44" t="str">
        <x:v>Month</x:v>
      </x:c>
      <x:c r="B4" s="44" t="str">
        <x:v>Budget Income</x:v>
      </x:c>
      <x:c r="C4" s="44" t="str">
        <x:v>Actual Income</x:v>
      </x:c>
      <x:c r="D4" s="44" t="str">
        <x:v>Budget Expenses</x:v>
      </x:c>
      <x:c r="E4" s="44" t="str">
        <x:v>Actual Expenses</x:v>
      </x:c>
      <x:c r="F4" s="44" t="str">
        <x:v>Net Cash Flow</x:v>
      </x:c>
      <x:c r="G4" s="44" t="str">
        <x:v>Expense Variance</x:v>
      </x:c>
      <x:c r="H4" s="44" t="str">
        <x:v>Savings Rate</x:v>
      </x:c>
    </x:row>
    <x:row r="5">
      <x:c r="A5" s="31" t="str">
        <x:v>January</x:v>
      </x:c>
      <x:c r="B5" s="32" t="n">
        <x:f>SUMIFS(Categories!$D$5:$D$19,Categories!$A$5:$A$19,"Income")</x:f>
        <x:v>7000</x:v>
      </x:c>
      <x:c r="C5" s="32" t="n">
        <x:f>SUMIFS('Jan'!$E$11:$E$109,'Jan'!$C$11:$C$109,"Income")</x:f>
        <x:v>6500</x:v>
      </x:c>
      <x:c r="D5" s="32" t="n">
        <x:f>SUMIFS(Categories!$D$5:$D$19,Categories!$A$5:$A$19,"Expense")</x:f>
        <x:v>6350</x:v>
      </x:c>
      <x:c r="E5" s="32" t="n">
        <x:f>SUMIFS('Jan'!$E$11:$E$109,'Jan'!$C$11:$C$109,"Expense")</x:f>
        <x:v>2270</x:v>
      </x:c>
      <x:c r="F5" s="32" t="n">
        <x:f>C5-E5</x:f>
        <x:v>4230</x:v>
      </x:c>
      <x:c r="G5" s="32" t="n">
        <x:f>D5-E5</x:f>
        <x:v>4080</x:v>
      </x:c>
      <x:c r="H5" s="37" t="n">
        <x:f>IF(C5=0,"",F5/C5)</x:f>
        <x:v>0.6507692307692308</x:v>
      </x:c>
    </x:row>
    <x:row r="6">
      <x:c r="A6" s="31" t="str">
        <x:v>February</x:v>
      </x:c>
      <x:c r="B6" s="32" t="n">
        <x:f>SUMIFS(Categories!$E$5:$E$19,Categories!$A$5:$A$19,"Income")</x:f>
        <x:v>7000</x:v>
      </x:c>
      <x:c r="C6" s="32" t="n">
        <x:f>SUMIFS('Feb'!$E$11:$E$109,'Feb'!$C$11:$C$109,"Income")</x:f>
        <x:v>0</x:v>
      </x:c>
      <x:c r="D6" s="32" t="n">
        <x:f>SUMIFS(Categories!$E$5:$E$19,Categories!$A$5:$A$19,"Expense")</x:f>
        <x:v>6350</x:v>
      </x:c>
      <x:c r="E6" s="32" t="n">
        <x:f>SUMIFS('Feb'!$E$11:$E$109,'Feb'!$C$11:$C$109,"Expense")</x:f>
        <x:v>0</x:v>
      </x:c>
      <x:c r="F6" s="32" t="n">
        <x:f>C6-E6</x:f>
        <x:v>0</x:v>
      </x:c>
      <x:c r="G6" s="32" t="n">
        <x:f>D6-E6</x:f>
        <x:v>6350</x:v>
      </x:c>
      <x:c r="H6" s="37" t="str">
        <x:f>IF(C6=0,"",F6/C6)</x:f>
      </x:c>
    </x:row>
    <x:row r="7">
      <x:c r="A7" s="31" t="str">
        <x:v>March</x:v>
      </x:c>
      <x:c r="B7" s="32" t="n">
        <x:f>SUMIFS(Categories!$F$5:$F$19,Categories!$A$5:$A$19,"Income")</x:f>
        <x:v>7000</x:v>
      </x:c>
      <x:c r="C7" s="32" t="n">
        <x:f>SUMIFS('Mar'!$E$11:$E$109,'Mar'!$C$11:$C$109,"Income")</x:f>
        <x:v>0</x:v>
      </x:c>
      <x:c r="D7" s="32" t="n">
        <x:f>SUMIFS(Categories!$F$5:$F$19,Categories!$A$5:$A$19,"Expense")</x:f>
        <x:v>6350</x:v>
      </x:c>
      <x:c r="E7" s="32" t="n">
        <x:f>SUMIFS('Mar'!$E$11:$E$109,'Mar'!$C$11:$C$109,"Expense")</x:f>
        <x:v>0</x:v>
      </x:c>
      <x:c r="F7" s="32" t="n">
        <x:f>C7-E7</x:f>
        <x:v>0</x:v>
      </x:c>
      <x:c r="G7" s="32" t="n">
        <x:f>D7-E7</x:f>
        <x:v>6350</x:v>
      </x:c>
      <x:c r="H7" s="37" t="str">
        <x:f>IF(C7=0,"",F7/C7)</x:f>
      </x:c>
    </x:row>
    <x:row r="8">
      <x:c r="A8" s="31" t="str">
        <x:v>April</x:v>
      </x:c>
      <x:c r="B8" s="32" t="n">
        <x:f>SUMIFS(Categories!$G$5:$G$19,Categories!$A$5:$A$19,"Income")</x:f>
        <x:v>7000</x:v>
      </x:c>
      <x:c r="C8" s="32" t="n">
        <x:f>SUMIFS('Apr'!$E$11:$E$109,'Apr'!$C$11:$C$109,"Income")</x:f>
        <x:v>0</x:v>
      </x:c>
      <x:c r="D8" s="32" t="n">
        <x:f>SUMIFS(Categories!$G$5:$G$19,Categories!$A$5:$A$19,"Expense")</x:f>
        <x:v>6350</x:v>
      </x:c>
      <x:c r="E8" s="32" t="n">
        <x:f>SUMIFS('Apr'!$E$11:$E$109,'Apr'!$C$11:$C$109,"Expense")</x:f>
        <x:v>0</x:v>
      </x:c>
      <x:c r="F8" s="32" t="n">
        <x:f>C8-E8</x:f>
        <x:v>0</x:v>
      </x:c>
      <x:c r="G8" s="32" t="n">
        <x:f>D8-E8</x:f>
        <x:v>6350</x:v>
      </x:c>
      <x:c r="H8" s="37" t="str">
        <x:f>IF(C8=0,"",F8/C8)</x:f>
      </x:c>
    </x:row>
    <x:row r="9">
      <x:c r="A9" s="31" t="str">
        <x:v>May</x:v>
      </x:c>
      <x:c r="B9" s="32" t="n">
        <x:f>SUMIFS(Categories!$H$5:$H$19,Categories!$A$5:$A$19,"Income")</x:f>
        <x:v>7000</x:v>
      </x:c>
      <x:c r="C9" s="32" t="n">
        <x:f>SUMIFS('May'!$E$11:$E$109,'May'!$C$11:$C$109,"Income")</x:f>
        <x:v>0</x:v>
      </x:c>
      <x:c r="D9" s="32" t="n">
        <x:f>SUMIFS(Categories!$H$5:$H$19,Categories!$A$5:$A$19,"Expense")</x:f>
        <x:v>6350</x:v>
      </x:c>
      <x:c r="E9" s="32" t="n">
        <x:f>SUMIFS('May'!$E$11:$E$109,'May'!$C$11:$C$109,"Expense")</x:f>
        <x:v>0</x:v>
      </x:c>
      <x:c r="F9" s="32" t="n">
        <x:f>C9-E9</x:f>
        <x:v>0</x:v>
      </x:c>
      <x:c r="G9" s="32" t="n">
        <x:f>D9-E9</x:f>
        <x:v>6350</x:v>
      </x:c>
      <x:c r="H9" s="37" t="str">
        <x:f>IF(C9=0,"",F9/C9)</x:f>
      </x:c>
    </x:row>
    <x:row r="10">
      <x:c r="A10" s="31" t="str">
        <x:v>June</x:v>
      </x:c>
      <x:c r="B10" s="32" t="n">
        <x:f>SUMIFS(Categories!$I$5:$I$19,Categories!$A$5:$A$19,"Income")</x:f>
        <x:v>7000</x:v>
      </x:c>
      <x:c r="C10" s="32" t="n">
        <x:f>SUMIFS('Jun'!$E$11:$E$109,'Jun'!$C$11:$C$109,"Income")</x:f>
        <x:v>0</x:v>
      </x:c>
      <x:c r="D10" s="32" t="n">
        <x:f>SUMIFS(Categories!$I$5:$I$19,Categories!$A$5:$A$19,"Expense")</x:f>
        <x:v>6350</x:v>
      </x:c>
      <x:c r="E10" s="32" t="n">
        <x:f>SUMIFS('Jun'!$E$11:$E$109,'Jun'!$C$11:$C$109,"Expense")</x:f>
        <x:v>0</x:v>
      </x:c>
      <x:c r="F10" s="32" t="n">
        <x:f>C10-E10</x:f>
        <x:v>0</x:v>
      </x:c>
      <x:c r="G10" s="32" t="n">
        <x:f>D10-E10</x:f>
        <x:v>6350</x:v>
      </x:c>
      <x:c r="H10" s="37" t="str">
        <x:f>IF(C10=0,"",F10/C10)</x:f>
      </x:c>
    </x:row>
    <x:row r="11">
      <x:c r="A11" s="31" t="str">
        <x:v>July</x:v>
      </x:c>
      <x:c r="B11" s="32" t="n">
        <x:f>SUMIFS(Categories!$J$5:$J$19,Categories!$A$5:$A$19,"Income")</x:f>
        <x:v>7000</x:v>
      </x:c>
      <x:c r="C11" s="32" t="n">
        <x:f>SUMIFS('Jul'!$E$11:$E$109,'Jul'!$C$11:$C$109,"Income")</x:f>
        <x:v>0</x:v>
      </x:c>
      <x:c r="D11" s="32" t="n">
        <x:f>SUMIFS(Categories!$J$5:$J$19,Categories!$A$5:$A$19,"Expense")</x:f>
        <x:v>6350</x:v>
      </x:c>
      <x:c r="E11" s="32" t="n">
        <x:f>SUMIFS('Jul'!$E$11:$E$109,'Jul'!$C$11:$C$109,"Expense")</x:f>
        <x:v>0</x:v>
      </x:c>
      <x:c r="F11" s="32" t="n">
        <x:f>C11-E11</x:f>
        <x:v>0</x:v>
      </x:c>
      <x:c r="G11" s="32" t="n">
        <x:f>D11-E11</x:f>
        <x:v>6350</x:v>
      </x:c>
      <x:c r="H11" s="37" t="str">
        <x:f>IF(C11=0,"",F11/C11)</x:f>
      </x:c>
    </x:row>
    <x:row r="12">
      <x:c r="A12" s="31" t="str">
        <x:v>August</x:v>
      </x:c>
      <x:c r="B12" s="32" t="n">
        <x:f>SUMIFS(Categories!$K$5:$K$19,Categories!$A$5:$A$19,"Income")</x:f>
        <x:v>7000</x:v>
      </x:c>
      <x:c r="C12" s="32" t="n">
        <x:f>SUMIFS('Aug'!$E$11:$E$109,'Aug'!$C$11:$C$109,"Income")</x:f>
        <x:v>0</x:v>
      </x:c>
      <x:c r="D12" s="32" t="n">
        <x:f>SUMIFS(Categories!$K$5:$K$19,Categories!$A$5:$A$19,"Expense")</x:f>
        <x:v>6350</x:v>
      </x:c>
      <x:c r="E12" s="32" t="n">
        <x:f>SUMIFS('Aug'!$E$11:$E$109,'Aug'!$C$11:$C$109,"Expense")</x:f>
        <x:v>0</x:v>
      </x:c>
      <x:c r="F12" s="32" t="n">
        <x:f>C12-E12</x:f>
        <x:v>0</x:v>
      </x:c>
      <x:c r="G12" s="32" t="n">
        <x:f>D12-E12</x:f>
        <x:v>6350</x:v>
      </x:c>
      <x:c r="H12" s="37" t="str">
        <x:f>IF(C12=0,"",F12/C12)</x:f>
      </x:c>
    </x:row>
    <x:row r="13">
      <x:c r="A13" s="31" t="str">
        <x:v>September</x:v>
      </x:c>
      <x:c r="B13" s="32" t="n">
        <x:f>SUMIFS(Categories!$L$5:$L$19,Categories!$A$5:$A$19,"Income")</x:f>
        <x:v>7000</x:v>
      </x:c>
      <x:c r="C13" s="32" t="n">
        <x:f>SUMIFS('Sep'!$E$11:$E$109,'Sep'!$C$11:$C$109,"Income")</x:f>
        <x:v>0</x:v>
      </x:c>
      <x:c r="D13" s="32" t="n">
        <x:f>SUMIFS(Categories!$L$5:$L$19,Categories!$A$5:$A$19,"Expense")</x:f>
        <x:v>6350</x:v>
      </x:c>
      <x:c r="E13" s="32" t="n">
        <x:f>SUMIFS('Sep'!$E$11:$E$109,'Sep'!$C$11:$C$109,"Expense")</x:f>
        <x:v>0</x:v>
      </x:c>
      <x:c r="F13" s="32" t="n">
        <x:f>C13-E13</x:f>
        <x:v>0</x:v>
      </x:c>
      <x:c r="G13" s="32" t="n">
        <x:f>D13-E13</x:f>
        <x:v>6350</x:v>
      </x:c>
      <x:c r="H13" s="37" t="str">
        <x:f>IF(C13=0,"",F13/C13)</x:f>
      </x:c>
    </x:row>
    <x:row r="14">
      <x:c r="A14" s="31" t="str">
        <x:v>October</x:v>
      </x:c>
      <x:c r="B14" s="32" t="n">
        <x:f>SUMIFS(Categories!$M$5:$M$19,Categories!$A$5:$A$19,"Income")</x:f>
        <x:v>7000</x:v>
      </x:c>
      <x:c r="C14" s="32" t="n">
        <x:f>SUMIFS('Oct'!$E$11:$E$109,'Oct'!$C$11:$C$109,"Income")</x:f>
        <x:v>0</x:v>
      </x:c>
      <x:c r="D14" s="32" t="n">
        <x:f>SUMIFS(Categories!$M$5:$M$19,Categories!$A$5:$A$19,"Expense")</x:f>
        <x:v>6350</x:v>
      </x:c>
      <x:c r="E14" s="32" t="n">
        <x:f>SUMIFS('Oct'!$E$11:$E$109,'Oct'!$C$11:$C$109,"Expense")</x:f>
        <x:v>0</x:v>
      </x:c>
      <x:c r="F14" s="32" t="n">
        <x:f>C14-E14</x:f>
        <x:v>0</x:v>
      </x:c>
      <x:c r="G14" s="32" t="n">
        <x:f>D14-E14</x:f>
        <x:v>6350</x:v>
      </x:c>
      <x:c r="H14" s="37" t="str">
        <x:f>IF(C14=0,"",F14/C14)</x:f>
      </x:c>
    </x:row>
    <x:row r="15">
      <x:c r="A15" s="31" t="str">
        <x:v>November</x:v>
      </x:c>
      <x:c r="B15" s="32" t="n">
        <x:f>SUMIFS(Categories!$N$5:$N$19,Categories!$A$5:$A$19,"Income")</x:f>
        <x:v>7000</x:v>
      </x:c>
      <x:c r="C15" s="32" t="n">
        <x:f>SUMIFS('Nov'!$E$11:$E$109,'Nov'!$C$11:$C$109,"Income")</x:f>
        <x:v>0</x:v>
      </x:c>
      <x:c r="D15" s="32" t="n">
        <x:f>SUMIFS(Categories!$N$5:$N$19,Categories!$A$5:$A$19,"Expense")</x:f>
        <x:v>6350</x:v>
      </x:c>
      <x:c r="E15" s="32" t="n">
        <x:f>SUMIFS('Nov'!$E$11:$E$109,'Nov'!$C$11:$C$109,"Expense")</x:f>
        <x:v>0</x:v>
      </x:c>
      <x:c r="F15" s="32" t="n">
        <x:f>C15-E15</x:f>
        <x:v>0</x:v>
      </x:c>
      <x:c r="G15" s="32" t="n">
        <x:f>D15-E15</x:f>
        <x:v>6350</x:v>
      </x:c>
      <x:c r="H15" s="37" t="str">
        <x:f>IF(C15=0,"",F15/C15)</x:f>
      </x:c>
    </x:row>
    <x:row r="16">
      <x:c r="A16" s="31" t="str">
        <x:v>December</x:v>
      </x:c>
      <x:c r="B16" s="32" t="n">
        <x:f>SUMIFS(Categories!$O$5:$O$19,Categories!$A$5:$A$19,"Income")</x:f>
        <x:v>7000</x:v>
      </x:c>
      <x:c r="C16" s="32" t="n">
        <x:f>SUMIFS('Dec'!$E$11:$E$109,'Dec'!$C$11:$C$109,"Income")</x:f>
        <x:v>0</x:v>
      </x:c>
      <x:c r="D16" s="32" t="n">
        <x:f>SUMIFS(Categories!$O$5:$O$19,Categories!$A$5:$A$19,"Expense")</x:f>
        <x:v>6350</x:v>
      </x:c>
      <x:c r="E16" s="32" t="n">
        <x:f>SUMIFS('Dec'!$E$11:$E$109,'Dec'!$C$11:$C$109,"Expense")</x:f>
        <x:v>0</x:v>
      </x:c>
      <x:c r="F16" s="32" t="n">
        <x:f>C16-E16</x:f>
        <x:v>0</x:v>
      </x:c>
      <x:c r="G16" s="32" t="n">
        <x:f>D16-E16</x:f>
        <x:v>6350</x:v>
      </x:c>
      <x:c r="H16" s="37" t="str">
        <x:f>IF(C16=0,"",F16/C16)</x:f>
      </x:c>
    </x:row>
    <x:row r="17">
      <x:c r="A17" s="48" t="str">
        <x:v>Total</x:v>
      </x:c>
      <x:c r="B17" s="49" t="n">
        <x:f>SUM(B5:B16)</x:f>
        <x:v>84000</x:v>
      </x:c>
      <x:c r="C17" s="49" t="n">
        <x:f>SUM(C5:C16)</x:f>
        <x:v>6500</x:v>
      </x:c>
      <x:c r="D17" s="49" t="n">
        <x:f>SUM(D5:D16)</x:f>
        <x:v>76200</x:v>
      </x:c>
      <x:c r="E17" s="49" t="n">
        <x:f>SUM(E5:E16)</x:f>
        <x:v>2270</x:v>
      </x:c>
      <x:c r="F17" s="49" t="n">
        <x:f>SUM(F5:F16)</x:f>
        <x:v>4230</x:v>
      </x:c>
      <x:c r="G17" s="49" t="n">
        <x:f>SUM(G5:G16)</x:f>
        <x:v>73930</x:v>
      </x:c>
      <x:c r="H17" s="50" t="n">
        <x:f>IF(C17=0,"",F17/C17)</x:f>
        <x:v>0.6507692307692308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93f1fbbd602444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8.84000015258789" hidden="0" customWidth="1"/>
    <x:col min="3" max="3" width="18.84000015258789" hidden="0" customWidth="1"/>
    <x:col min="4" max="4" width="13.460000038146973" hidden="0" customWidth="1"/>
    <x:col min="5" max="5" width="31.6299991607666" hidden="0" customWidth="1"/>
  </x:cols>
  <x:sheetData>
    <x:row r="1" ht="25.5" customHeight="1">
      <x:c r="A1" s="4" t="str">
        <x:v>Workbook Checks</x:v>
      </x:c>
      <x:c r="B1" s="4" t="str">
        <x:v>Workbook Checks</x:v>
      </x:c>
      <x:c r="C1" s="4" t="str">
        <x:v>Workbook Checks</x:v>
      </x:c>
      <x:c r="D1" s="4" t="str">
        <x:v>Workbook Checks</x:v>
      </x:c>
      <x:c r="E1" s="4" t="str">
        <x:v>Workbook Checks</x:v>
      </x:c>
    </x:row>
    <x:row r="2">
      <x:c r="A2" s="7" t="str">
        <x:v>Formula checks to confirm dashboard values reconcile to annual summary.</x:v>
      </x:c>
      <x:c r="B2" s="7" t="str">
        <x:v>Formula checks to confirm dashboard values reconcile to annual summary.</x:v>
      </x:c>
      <x:c r="C2" s="7" t="str">
        <x:v>Formula checks to confirm dashboard values reconcile to annual summary.</x:v>
      </x:c>
      <x:c r="D2" s="7" t="str">
        <x:v>Formula checks to confirm dashboard values reconcile to annual summary.</x:v>
      </x:c>
      <x:c r="E2" s="7" t="str">
        <x:v>Formula checks to confirm dashboard values reconcile to annual summary.</x:v>
      </x:c>
    </x:row>
    <x:row r="4">
      <x:c r="A4" s="44" t="str">
        <x:v>Check</x:v>
      </x:c>
      <x:c r="B4" s="44" t="str">
        <x:v>Dashboard Value</x:v>
      </x:c>
      <x:c r="C4" s="44" t="str">
        <x:v>Source Value</x:v>
      </x:c>
      <x:c r="D4" s="44" t="str">
        <x:v>Status</x:v>
      </x:c>
      <x:c r="E4" s="44" t="str">
        <x:v>Notes</x:v>
      </x:c>
    </x:row>
    <x:row r="5">
      <x:c r="A5" s="31" t="str">
        <x:v>Actual income ties</x:v>
      </x:c>
      <x:c r="B5" s="32" t="n">
        <x:f>Dashboard!A5</x:f>
        <x:v>6500</x:v>
      </x:c>
      <x:c r="C5" s="32" t="n">
        <x:f>'Annual Summary'!C17</x:f>
        <x:v>6500</x:v>
      </x:c>
      <x:c r="D5" s="53" t="str">
        <x:f>IF(ABS(B5-C5)&lt;0.01,"OK","Review")</x:f>
        <x:v>OK</x:v>
      </x:c>
      <x:c r="E5" s="31" t="str">
        <x:v>Dashboard income equals Annual Summary actual income.</x:v>
      </x:c>
    </x:row>
    <x:row r="6">
      <x:c r="A6" s="31" t="str">
        <x:v>Actual expenses ties</x:v>
      </x:c>
      <x:c r="B6" s="32" t="n">
        <x:f>Dashboard!F5</x:f>
        <x:v>2270</x:v>
      </x:c>
      <x:c r="C6" s="32" t="n">
        <x:f>'Annual Summary'!E17</x:f>
        <x:v>2270</x:v>
      </x:c>
      <x:c r="D6" s="53" t="str">
        <x:f>IF(ABS(B6-C6)&lt;0.01,"OK","Review")</x:f>
        <x:v>OK</x:v>
      </x:c>
      <x:c r="E6" s="31" t="str">
        <x:v>Dashboard expenses equals Annual Summary actual expenses.</x:v>
      </x:c>
    </x:row>
    <x:row r="7">
      <x:c r="A7" s="31" t="str">
        <x:v>Net cash flow ties</x:v>
      </x:c>
      <x:c r="B7" s="32" t="n">
        <x:f>Dashboard!J5</x:f>
        <x:v>4230</x:v>
      </x:c>
      <x:c r="C7" s="32" t="n">
        <x:f>'Annual Summary'!F17</x:f>
        <x:v>4230</x:v>
      </x:c>
      <x:c r="D7" s="53" t="str">
        <x:f>IF(ABS(B7-C7)&lt;0.01,"OK","Review")</x:f>
        <x:v>OK</x:v>
      </x:c>
      <x:c r="E7" s="31" t="str">
        <x:v>Dashboard net cash flow equals Annual Summary net cash flow.</x:v>
      </x:c>
    </x:row>
    <x:row r="8">
      <x:c r="A8" s="31" t="str">
        <x:v>Budget remaining ties</x:v>
      </x:c>
      <x:c r="B8" s="32" t="n">
        <x:f>Dashboard!F9</x:f>
        <x:v>73930</x:v>
      </x:c>
      <x:c r="C8" s="32" t="n">
        <x:f>'Annual Summary'!G17</x:f>
        <x:v>73930</x:v>
      </x:c>
      <x:c r="D8" s="53" t="str">
        <x:f>IF(ABS(B8-C8)&lt;0.01,"OK","Review")</x:f>
        <x:v>OK</x:v>
      </x:c>
      <x:c r="E8" s="31" t="str">
        <x:v>Dashboard budget remaining equals Annual Summary expense variance.</x:v>
      </x:c>
    </x:row>
    <x:row r="9">
      <x:c r="A9" s="31" t="str">
        <x:v>Savings rate ties</x:v>
      </x:c>
      <x:c r="B9" s="37" t="n">
        <x:f>Dashboard!J9</x:f>
        <x:v>0.6507692307692308</x:v>
      </x:c>
      <x:c r="C9" s="37" t="n">
        <x:f>'Annual Summary'!H17</x:f>
        <x:v>0.6507692307692308</x:v>
      </x:c>
      <x:c r="D9" s="53" t="str">
        <x:f>IF(ABS(B9-C9)&lt;0.0001,"OK","Review")</x:f>
        <x:v>OK</x:v>
      </x:c>
      <x:c r="E9" s="31" t="str">
        <x:v>Dashboard savings rate equals annual savings rate.</x:v>
      </x:c>
    </x:row>
  </x:sheetData>
  <x:mergeCells>
    <x:mergeCell ref="A1:E1"/>
    <x:mergeCell ref="A2:E2"/>
  </x:mergeCells>
  <x:pageMargins left="0.7" right="0.7" top="0.75" bottom="0.75" header="0.3" footer="0.3"/>
</x:worksheet>
</file>